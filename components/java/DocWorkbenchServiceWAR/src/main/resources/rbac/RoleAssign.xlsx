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TFS\ManaExpertServices\Solutions\DocWorkbench\components\java\DocWorkbenchServiceWAR\src\main\resources\rbac\"/>
    </mc:Choice>
  </mc:AlternateContent>
  <xr:revisionPtr revIDLastSave="0" documentId="13_ncr:1_{A81D1493-32D3-4DFE-AD4C-9BEBD73C77B4}" xr6:coauthVersionLast="47" xr6:coauthVersionMax="47" xr10:uidLastSave="{00000000-0000-0000-0000-000000000000}"/>
  <bookViews>
    <workbookView xWindow="-110" yWindow="-110" windowWidth="19420" windowHeight="10300" tabRatio="984" activeTab="2" xr2:uid="{00000000-000D-0000-FFFF-FFFF00000000}"/>
  </bookViews>
  <sheets>
    <sheet name="Definitions" sheetId="7" r:id="rId1"/>
    <sheet name="RoleMatrix" sheetId="4" r:id="rId2"/>
    <sheet name="APIs" sheetId="1" r:id="rId3"/>
    <sheet name="UI" sheetId="3" r:id="rId4"/>
    <sheet name="Data" sheetId="10" r:id="rId5"/>
    <sheet name="Service" sheetId="9" r:id="rId6"/>
    <sheet name="Users" sheetId="8" r:id="rId7"/>
    <sheet name="RoleMatrix-OLD" sheetId="2" state="hidden" r:id="rId8"/>
    <sheet name="APIs-OLD" sheetId="5" state="hidden" r:id="rId9"/>
    <sheet name="UI-OLD" sheetId="6" state="hidden" r:id="rId10"/>
  </sheets>
  <definedNames>
    <definedName name="_xlnm._FilterDatabase" localSheetId="2" hidden="1">APIs!$A$1:$K$81</definedName>
    <definedName name="_xlnm._FilterDatabase" localSheetId="8" hidden="1">'APIs-OLD'!$A$1:$L$80</definedName>
    <definedName name="_xlnm._FilterDatabase" localSheetId="1" hidden="1">RoleMatrix!$A$4:$O$64</definedName>
    <definedName name="_xlnm._FilterDatabase" localSheetId="7" hidden="1">'RoleMatrix-OLD'!$A$5:$M$47</definedName>
    <definedName name="_xlnm._FilterDatabase" localSheetId="5" hidden="1">Service!$A$3:$H$22</definedName>
    <definedName name="_xlnm._FilterDatabase" localSheetId="3" hidden="1">UI!$A$3:$L$52</definedName>
    <definedName name="lstFeatures">RoleMatrix!$D$5:$D$64</definedName>
    <definedName name="searchStringPrefix">UI!$R$3</definedName>
    <definedName name="temp">'RoleMatrix-OLD'!$C$5:$K$46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J53" i="3"/>
  <c r="I82" i="1"/>
  <c r="J82" i="1"/>
  <c r="D63" i="4"/>
  <c r="L63" i="4" s="1"/>
  <c r="D40" i="4"/>
  <c r="I59" i="1"/>
  <c r="J48" i="1"/>
  <c r="J61" i="1"/>
  <c r="D38" i="4"/>
  <c r="J81" i="1"/>
  <c r="D14" i="4"/>
  <c r="M14" i="4" s="1"/>
  <c r="M40" i="4"/>
  <c r="D62" i="4"/>
  <c r="L62" i="4" s="1"/>
  <c r="D16" i="4"/>
  <c r="L16" i="4" s="1"/>
  <c r="D15" i="4"/>
  <c r="L15" i="4" s="1"/>
  <c r="J60" i="1"/>
  <c r="D60" i="4"/>
  <c r="N60" i="4" s="1"/>
  <c r="D61" i="4"/>
  <c r="L61" i="4" s="1"/>
  <c r="J80" i="1"/>
  <c r="J79" i="1"/>
  <c r="D9" i="4"/>
  <c r="L9" i="4" s="1"/>
  <c r="D8" i="4"/>
  <c r="M8" i="4" s="1"/>
  <c r="J62" i="1"/>
  <c r="J59" i="1"/>
  <c r="D48" i="4"/>
  <c r="N48" i="4" s="1"/>
  <c r="D50" i="4"/>
  <c r="L50" i="4" s="1"/>
  <c r="D49" i="4"/>
  <c r="M49" i="4" s="1"/>
  <c r="D57" i="4"/>
  <c r="N57" i="4" s="1"/>
  <c r="J72" i="1"/>
  <c r="J73" i="1"/>
  <c r="J38" i="1"/>
  <c r="D59" i="4"/>
  <c r="L59" i="4" s="1"/>
  <c r="D58" i="4"/>
  <c r="L58" i="4" s="1"/>
  <c r="D68" i="4"/>
  <c r="M68" i="4" s="1"/>
  <c r="D27" i="4"/>
  <c r="N27" i="4" s="1"/>
  <c r="D26" i="4"/>
  <c r="N26" i="4" s="1"/>
  <c r="D22" i="4"/>
  <c r="N22" i="4" s="1"/>
  <c r="D20" i="4"/>
  <c r="N20" i="4" s="1"/>
  <c r="D28" i="4"/>
  <c r="N28" i="4" s="1"/>
  <c r="J58" i="1"/>
  <c r="D47" i="4"/>
  <c r="L47" i="4" s="1"/>
  <c r="J37" i="1"/>
  <c r="J78" i="1"/>
  <c r="J77" i="1"/>
  <c r="D31" i="4"/>
  <c r="M31" i="4" s="1"/>
  <c r="D52" i="4"/>
  <c r="L52" i="4" s="1"/>
  <c r="D51" i="4"/>
  <c r="N51" i="4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9" i="1"/>
  <c r="J40" i="1"/>
  <c r="J41" i="1"/>
  <c r="J42" i="1"/>
  <c r="J43" i="1"/>
  <c r="J44" i="1"/>
  <c r="J45" i="1"/>
  <c r="J46" i="1"/>
  <c r="J47" i="1"/>
  <c r="J49" i="1"/>
  <c r="J50" i="1"/>
  <c r="J51" i="1"/>
  <c r="J52" i="1"/>
  <c r="J53" i="1"/>
  <c r="J54" i="1"/>
  <c r="J55" i="1"/>
  <c r="J56" i="1"/>
  <c r="J57" i="1"/>
  <c r="J63" i="1"/>
  <c r="J64" i="1"/>
  <c r="J65" i="1"/>
  <c r="J66" i="1"/>
  <c r="J67" i="1"/>
  <c r="J68" i="1"/>
  <c r="J69" i="1"/>
  <c r="J70" i="1"/>
  <c r="J71" i="1"/>
  <c r="J74" i="1"/>
  <c r="J75" i="1"/>
  <c r="J76" i="1"/>
  <c r="J2" i="1"/>
  <c r="D56" i="4"/>
  <c r="M56" i="4" s="1"/>
  <c r="D10" i="4"/>
  <c r="M10" i="4" s="1"/>
  <c r="D11" i="4"/>
  <c r="M11" i="4" s="1"/>
  <c r="D12" i="4"/>
  <c r="M12" i="4" s="1"/>
  <c r="D13" i="4"/>
  <c r="M13" i="4" s="1"/>
  <c r="D17" i="4"/>
  <c r="M17" i="4" s="1"/>
  <c r="D18" i="4"/>
  <c r="L18" i="4" s="1"/>
  <c r="D19" i="4"/>
  <c r="M19" i="4" s="1"/>
  <c r="D21" i="4"/>
  <c r="M21" i="4" s="1"/>
  <c r="D23" i="4"/>
  <c r="M23" i="4" s="1"/>
  <c r="D24" i="4"/>
  <c r="M24" i="4" s="1"/>
  <c r="D25" i="4"/>
  <c r="L25" i="4" s="1"/>
  <c r="D29" i="4"/>
  <c r="M29" i="4" s="1"/>
  <c r="D30" i="4"/>
  <c r="M30" i="4" s="1"/>
  <c r="D32" i="4"/>
  <c r="L32" i="4" s="1"/>
  <c r="M38" i="4"/>
  <c r="D33" i="4"/>
  <c r="L33" i="4" s="1"/>
  <c r="D34" i="4"/>
  <c r="M34" i="4" s="1"/>
  <c r="D35" i="4"/>
  <c r="M35" i="4" s="1"/>
  <c r="D36" i="4"/>
  <c r="M36" i="4" s="1"/>
  <c r="D37" i="4"/>
  <c r="M37" i="4" s="1"/>
  <c r="D39" i="4"/>
  <c r="M39" i="4" s="1"/>
  <c r="D5" i="4"/>
  <c r="I72" i="1" s="1"/>
  <c r="D6" i="4"/>
  <c r="M6" i="4" s="1"/>
  <c r="D41" i="4"/>
  <c r="L41" i="4" s="1"/>
  <c r="D42" i="4"/>
  <c r="M42" i="4" s="1"/>
  <c r="D43" i="4"/>
  <c r="M43" i="4" s="1"/>
  <c r="D44" i="4"/>
  <c r="M44" i="4" s="1"/>
  <c r="D45" i="4"/>
  <c r="M45" i="4" s="1"/>
  <c r="D46" i="4"/>
  <c r="M46" i="4" s="1"/>
  <c r="D53" i="4"/>
  <c r="M53" i="4" s="1"/>
  <c r="D54" i="4"/>
  <c r="M54" i="4" s="1"/>
  <c r="D55" i="4"/>
  <c r="L55" i="4" s="1"/>
  <c r="D7" i="4"/>
  <c r="M7" i="4" s="1"/>
  <c r="C19" i="2"/>
  <c r="C18" i="2"/>
  <c r="C36" i="2"/>
  <c r="C22" i="2"/>
  <c r="C21" i="2"/>
  <c r="C20" i="2"/>
  <c r="C43" i="2"/>
  <c r="C42" i="2"/>
  <c r="C46" i="2"/>
  <c r="C29" i="2"/>
  <c r="C28" i="2"/>
  <c r="C27" i="2"/>
  <c r="C25" i="2"/>
  <c r="C26" i="2"/>
  <c r="C45" i="2"/>
  <c r="C7" i="2"/>
  <c r="C6" i="2"/>
  <c r="C10" i="2"/>
  <c r="C44" i="2"/>
  <c r="C41" i="2"/>
  <c r="C40" i="2"/>
  <c r="C39" i="2"/>
  <c r="C38" i="2"/>
  <c r="C37" i="2"/>
  <c r="C35" i="2"/>
  <c r="C34" i="2"/>
  <c r="C33" i="2"/>
  <c r="C32" i="2"/>
  <c r="C31" i="2"/>
  <c r="C30" i="2"/>
  <c r="C24" i="2"/>
  <c r="C23" i="2"/>
  <c r="C17" i="2"/>
  <c r="C16" i="2"/>
  <c r="C15" i="2"/>
  <c r="C14" i="2"/>
  <c r="C13" i="2"/>
  <c r="C12" i="2"/>
  <c r="C11" i="2"/>
  <c r="C9" i="2"/>
  <c r="C8" i="2"/>
  <c r="N63" i="4" l="1"/>
  <c r="M63" i="4"/>
  <c r="I48" i="1"/>
  <c r="J27" i="3"/>
  <c r="I60" i="1"/>
  <c r="I61" i="1"/>
  <c r="I62" i="1"/>
  <c r="I81" i="1"/>
  <c r="N40" i="4"/>
  <c r="L40" i="4"/>
  <c r="N62" i="4"/>
  <c r="M62" i="4"/>
  <c r="N14" i="4"/>
  <c r="L14" i="4"/>
  <c r="N8" i="4"/>
  <c r="L8" i="4"/>
  <c r="L49" i="4"/>
  <c r="M48" i="4"/>
  <c r="N50" i="4"/>
  <c r="L48" i="4"/>
  <c r="M50" i="4"/>
  <c r="N47" i="4"/>
  <c r="N9" i="4"/>
  <c r="M47" i="4"/>
  <c r="M9" i="4"/>
  <c r="N49" i="4"/>
  <c r="N16" i="4"/>
  <c r="N61" i="4"/>
  <c r="M61" i="4"/>
  <c r="M16" i="4"/>
  <c r="N15" i="4"/>
  <c r="M15" i="4"/>
  <c r="J51" i="3"/>
  <c r="J52" i="3"/>
  <c r="L60" i="4"/>
  <c r="M60" i="4"/>
  <c r="J50" i="3"/>
  <c r="J49" i="3"/>
  <c r="I79" i="1"/>
  <c r="I80" i="1"/>
  <c r="J48" i="3"/>
  <c r="I73" i="1"/>
  <c r="L68" i="4"/>
  <c r="N59" i="4"/>
  <c r="M59" i="4"/>
  <c r="L57" i="4"/>
  <c r="M57" i="4"/>
  <c r="N68" i="4"/>
  <c r="J47" i="3"/>
  <c r="N58" i="4"/>
  <c r="J46" i="3"/>
  <c r="M58" i="4"/>
  <c r="I38" i="1"/>
  <c r="J24" i="3"/>
  <c r="J29" i="3"/>
  <c r="J28" i="3"/>
  <c r="F18" i="9"/>
  <c r="J23" i="3"/>
  <c r="F19" i="9"/>
  <c r="F17" i="9"/>
  <c r="F16" i="9"/>
  <c r="L27" i="4"/>
  <c r="M27" i="4"/>
  <c r="L26" i="4"/>
  <c r="M26" i="4"/>
  <c r="L22" i="4"/>
  <c r="M22" i="4"/>
  <c r="L20" i="4"/>
  <c r="M20" i="4"/>
  <c r="F15" i="9"/>
  <c r="L51" i="4"/>
  <c r="M51" i="4"/>
  <c r="J30" i="3"/>
  <c r="L28" i="4"/>
  <c r="M28" i="4"/>
  <c r="F23" i="9"/>
  <c r="N31" i="4"/>
  <c r="J13" i="3"/>
  <c r="M52" i="4"/>
  <c r="I58" i="1"/>
  <c r="N53" i="4"/>
  <c r="J45" i="3"/>
  <c r="N52" i="4"/>
  <c r="J12" i="3"/>
  <c r="I77" i="1"/>
  <c r="L31" i="4"/>
  <c r="I78" i="1"/>
  <c r="I37" i="1"/>
  <c r="J14" i="3"/>
  <c r="J5" i="3"/>
  <c r="N56" i="4"/>
  <c r="N54" i="4"/>
  <c r="N42" i="4"/>
  <c r="F21" i="9"/>
  <c r="N39" i="4"/>
  <c r="N33" i="4"/>
  <c r="N30" i="4"/>
  <c r="N19" i="4"/>
  <c r="N17" i="4"/>
  <c r="N6" i="4"/>
  <c r="N55" i="4"/>
  <c r="N41" i="4"/>
  <c r="N32" i="4"/>
  <c r="N18" i="4"/>
  <c r="N38" i="4"/>
  <c r="N29" i="4"/>
  <c r="N13" i="4"/>
  <c r="N46" i="4"/>
  <c r="N37" i="4"/>
  <c r="N25" i="4"/>
  <c r="N12" i="4"/>
  <c r="N45" i="4"/>
  <c r="N36" i="4"/>
  <c r="N24" i="4"/>
  <c r="N11" i="4"/>
  <c r="N44" i="4"/>
  <c r="N35" i="4"/>
  <c r="N23" i="4"/>
  <c r="N10" i="4"/>
  <c r="N5" i="4"/>
  <c r="N43" i="4"/>
  <c r="N34" i="4"/>
  <c r="N21" i="4"/>
  <c r="N7" i="4"/>
  <c r="F12" i="9"/>
  <c r="F11" i="9"/>
  <c r="F10" i="9"/>
  <c r="F4" i="9"/>
  <c r="F9" i="9"/>
  <c r="F22" i="9"/>
  <c r="F8" i="9"/>
  <c r="F20" i="9"/>
  <c r="F7" i="9"/>
  <c r="F14" i="9"/>
  <c r="F6" i="9"/>
  <c r="F13" i="9"/>
  <c r="F5" i="9"/>
  <c r="L10" i="4"/>
  <c r="L53" i="4"/>
  <c r="L44" i="4"/>
  <c r="I70" i="1"/>
  <c r="L42" i="4"/>
  <c r="J4" i="3"/>
  <c r="L39" i="4"/>
  <c r="L6" i="4"/>
  <c r="J35" i="3"/>
  <c r="L30" i="4"/>
  <c r="M32" i="4"/>
  <c r="L23" i="4"/>
  <c r="M25" i="4"/>
  <c r="L56" i="4"/>
  <c r="L19" i="4"/>
  <c r="L54" i="4"/>
  <c r="L17" i="4"/>
  <c r="J11" i="3"/>
  <c r="J20" i="3"/>
  <c r="M18" i="4"/>
  <c r="J41" i="3"/>
  <c r="J9" i="3"/>
  <c r="J40" i="3"/>
  <c r="J32" i="3"/>
  <c r="J19" i="3"/>
  <c r="J8" i="3"/>
  <c r="I7" i="1"/>
  <c r="J39" i="3"/>
  <c r="J31" i="3"/>
  <c r="J18" i="3"/>
  <c r="J7" i="3"/>
  <c r="L46" i="4"/>
  <c r="L37" i="4"/>
  <c r="L12" i="4"/>
  <c r="M33" i="4"/>
  <c r="L38" i="4"/>
  <c r="L29" i="4"/>
  <c r="L13" i="4"/>
  <c r="M55" i="4"/>
  <c r="M41" i="4"/>
  <c r="J38" i="3"/>
  <c r="J17" i="3"/>
  <c r="J6" i="3"/>
  <c r="L45" i="4"/>
  <c r="L36" i="4"/>
  <c r="L24" i="4"/>
  <c r="L11" i="4"/>
  <c r="J43" i="3"/>
  <c r="J22" i="3"/>
  <c r="J33" i="3"/>
  <c r="J37" i="3"/>
  <c r="L35" i="4"/>
  <c r="J26" i="3"/>
  <c r="J16" i="3"/>
  <c r="J44" i="3"/>
  <c r="J36" i="3"/>
  <c r="J25" i="3"/>
  <c r="J15" i="3"/>
  <c r="L5" i="4"/>
  <c r="L43" i="4"/>
  <c r="L34" i="4"/>
  <c r="L21" i="4"/>
  <c r="L7" i="4"/>
  <c r="J42" i="3"/>
  <c r="J34" i="3"/>
  <c r="J21" i="3"/>
  <c r="J10" i="3"/>
  <c r="M5" i="4"/>
  <c r="I63" i="1"/>
  <c r="I41" i="1"/>
  <c r="I14" i="1"/>
  <c r="I69" i="1"/>
  <c r="I40" i="1"/>
  <c r="I22" i="1"/>
  <c r="I5" i="1"/>
  <c r="I2" i="1"/>
  <c r="I55" i="1"/>
  <c r="I39" i="1"/>
  <c r="I12" i="1"/>
  <c r="I76" i="1"/>
  <c r="I54" i="1"/>
  <c r="I36" i="1"/>
  <c r="I28" i="1"/>
  <c r="I11" i="1"/>
  <c r="I3" i="1"/>
  <c r="I75" i="1"/>
  <c r="I66" i="1"/>
  <c r="I53" i="1"/>
  <c r="I45" i="1"/>
  <c r="I35" i="1"/>
  <c r="I27" i="1"/>
  <c r="I19" i="1"/>
  <c r="I10" i="1"/>
  <c r="I49" i="1"/>
  <c r="I31" i="1"/>
  <c r="I6" i="1"/>
  <c r="I30" i="1"/>
  <c r="I13" i="1"/>
  <c r="I68" i="1"/>
  <c r="I47" i="1"/>
  <c r="I29" i="1"/>
  <c r="I21" i="1"/>
  <c r="I4" i="1"/>
  <c r="I67" i="1"/>
  <c r="I46" i="1"/>
  <c r="I20" i="1"/>
  <c r="I74" i="1"/>
  <c r="I65" i="1"/>
  <c r="I52" i="1"/>
  <c r="I44" i="1"/>
  <c r="I34" i="1"/>
  <c r="I26" i="1"/>
  <c r="I18" i="1"/>
  <c r="I9" i="1"/>
  <c r="I57" i="1"/>
  <c r="I23" i="1"/>
  <c r="I56" i="1"/>
  <c r="I64" i="1"/>
  <c r="I51" i="1"/>
  <c r="I43" i="1"/>
  <c r="I33" i="1"/>
  <c r="I25" i="1"/>
  <c r="I16" i="1"/>
  <c r="I8" i="1"/>
  <c r="I71" i="1"/>
  <c r="I50" i="1"/>
  <c r="I42" i="1"/>
  <c r="I32" i="1"/>
  <c r="I24" i="1"/>
  <c r="I15" i="1"/>
</calcChain>
</file>

<file path=xl/sharedStrings.xml><?xml version="1.0" encoding="utf-8"?>
<sst xmlns="http://schemas.openxmlformats.org/spreadsheetml/2006/main" count="2430" uniqueCount="650">
  <si>
    <t>about</t>
  </si>
  <si>
    <t>/api/v1/about</t>
  </si>
  <si>
    <t>API</t>
  </si>
  <si>
    <t>action</t>
  </si>
  <si>
    <t>/api/v1/action</t>
  </si>
  <si>
    <t>Get list of actions along with details</t>
  </si>
  <si>
    <t>Controller</t>
  </si>
  <si>
    <t>Description</t>
  </si>
  <si>
    <t>Add new action to document</t>
  </si>
  <si>
    <t>Update action status</t>
  </si>
  <si>
    <t>/api/v1/action/{docActionRelId}</t>
  </si>
  <si>
    <t>Delete an action</t>
  </si>
  <si>
    <t>/api/v1/action/mapping</t>
  </si>
  <si>
    <t>Get Action Details</t>
  </si>
  <si>
    <t>attachment</t>
  </si>
  <si>
    <t>Get list of attachments associated with docId</t>
  </si>
  <si>
    <t>Add a new attachment along with associated data</t>
  </si>
  <si>
    <t>Get attachment file for a given document id &amp; attachment id</t>
  </si>
  <si>
    <t>attribute</t>
  </si>
  <si>
    <t>/api/v1/attr</t>
  </si>
  <si>
    <t>Get list of attributes</t>
  </si>
  <si>
    <t>/api/v1/attr/add</t>
  </si>
  <si>
    <t>Add one or more attributes to a document</t>
  </si>
  <si>
    <t>/api/v1/attr/attrtext</t>
  </si>
  <si>
    <t>/api/v1/attr/delete</t>
  </si>
  <si>
    <t>Delete an attribute</t>
  </si>
  <si>
    <t>/api/v1/attr/edit</t>
  </si>
  <si>
    <t>Update an attribute</t>
  </si>
  <si>
    <t>auth</t>
  </si>
  <si>
    <t>/api/v1/auth</t>
  </si>
  <si>
    <t>Get authorization token</t>
  </si>
  <si>
    <t>category</t>
  </si>
  <si>
    <t>/api/v1/category</t>
  </si>
  <si>
    <t>Get Category Details</t>
  </si>
  <si>
    <t>/api/v1/document</t>
  </si>
  <si>
    <t>Get a list of documents with or without filter</t>
  </si>
  <si>
    <t>document</t>
  </si>
  <si>
    <t>Add a new document along with associated data</t>
  </si>
  <si>
    <t>/api/v1/document/{docId}</t>
  </si>
  <si>
    <t>Delete a document</t>
  </si>
  <si>
    <t>/api/v1/document/case</t>
  </si>
  <si>
    <t>Close case of document</t>
  </si>
  <si>
    <t>/api/v1/document/eventType</t>
  </si>
  <si>
    <t>insert action Status to document</t>
  </si>
  <si>
    <t>/api/v1/document/taskstatus</t>
  </si>
  <si>
    <t>Update action Status to document</t>
  </si>
  <si>
    <t>/api/v1/document/user</t>
  </si>
  <si>
    <t>Assign/Reassign user to a document</t>
  </si>
  <si>
    <t>email</t>
  </si>
  <si>
    <t>/api/v1/email</t>
  </si>
  <si>
    <t>/api/v1/email/{emailId}</t>
  </si>
  <si>
    <t>/api/v1/email/draft</t>
  </si>
  <si>
    <t>/api/v1/email/draft/save</t>
  </si>
  <si>
    <t>Save draft email</t>
  </si>
  <si>
    <t>/api/v1/email/send</t>
  </si>
  <si>
    <t>Save outgoing emails</t>
  </si>
  <si>
    <t>/api/v1/email/taskstatus</t>
  </si>
  <si>
    <t>Get list of sent emails by task status</t>
  </si>
  <si>
    <t>/api/v1/email/update</t>
  </si>
  <si>
    <t>Update action Status to Email</t>
  </si>
  <si>
    <t>/api/v1/queue/stats</t>
  </si>
  <si>
    <t>Get count of documents in queue under different status</t>
  </si>
  <si>
    <t>queue</t>
  </si>
  <si>
    <t>role</t>
  </si>
  <si>
    <t>/api/v1/role</t>
  </si>
  <si>
    <t>Assign user role</t>
  </si>
  <si>
    <t>Deletes user role</t>
  </si>
  <si>
    <t>session</t>
  </si>
  <si>
    <t>/api/v1/session</t>
  </si>
  <si>
    <t>Get logged in user details</t>
  </si>
  <si>
    <t>template</t>
  </si>
  <si>
    <t>Get a list of templates</t>
  </si>
  <si>
    <t>/api/v1/temp/{templateId}</t>
  </si>
  <si>
    <t>Delete a template</t>
  </si>
  <si>
    <t>/api/v1/temp/data</t>
  </si>
  <si>
    <t>Get a list of templates with extracted data</t>
  </si>
  <si>
    <t>user</t>
  </si>
  <si>
    <t>/api/v1/user</t>
  </si>
  <si>
    <t>Add a new user along with associated data</t>
  </si>
  <si>
    <t>Update account enabled status</t>
  </si>
  <si>
    <t>Get list of users</t>
  </si>
  <si>
    <t>/api/v1/user/queue</t>
  </si>
  <si>
    <t>Get list of queues for user</t>
  </si>
  <si>
    <t>Add user to a queue</t>
  </si>
  <si>
    <t>/api/v1/user/queue/{appUserQueueRelId}</t>
  </si>
  <si>
    <t>Remove user from a queue</t>
  </si>
  <si>
    <t>val</t>
  </si>
  <si>
    <t>/api/v1/val</t>
  </si>
  <si>
    <t>Get static values list for a given entity</t>
  </si>
  <si>
    <t>/api/v1/action/param/mapping</t>
  </si>
  <si>
    <t>Get details about the product</t>
  </si>
  <si>
    <t>ADMIN</t>
  </si>
  <si>
    <t>MANAGER</t>
  </si>
  <si>
    <t>AGENT</t>
  </si>
  <si>
    <t>YES</t>
  </si>
  <si>
    <t>NO</t>
  </si>
  <si>
    <t>no authorization</t>
  </si>
  <si>
    <t>/api/v1/action/param/attr/recommendation</t>
  </si>
  <si>
    <t>Get data for mapping details of action's parameters with document's attributes</t>
  </si>
  <si>
    <t>/api/v1/action/recommendation</t>
  </si>
  <si>
    <t>Get recommended action based on business rules configured</t>
  </si>
  <si>
    <r>
      <t>/api/v1/attachment</t>
    </r>
    <r>
      <rPr>
        <sz val="11"/>
        <color theme="9" tint="-0.499984740745262"/>
        <rFont val="Calibri"/>
        <family val="2"/>
        <scheme val="minor"/>
      </rPr>
      <t>/doc</t>
    </r>
  </si>
  <si>
    <t>/api/v1/attachment/doc</t>
  </si>
  <si>
    <t>/api/v1/attachment/doc/file</t>
  </si>
  <si>
    <t>Get attachment file for a given email outbound id and attachment id</t>
  </si>
  <si>
    <t>/api/v1/attachment/email/file</t>
  </si>
  <si>
    <t>Get list of attachments associated with email outbound id</t>
  </si>
  <si>
    <t>/api/v1/attachment/email</t>
  </si>
  <si>
    <t>Add a new attachment along with associated data to a group</t>
  </si>
  <si>
    <t>/api/v1/attachment/doc/group</t>
  </si>
  <si>
    <t>/api/v1/annotation/add</t>
  </si>
  <si>
    <t>Add one or more annotations</t>
  </si>
  <si>
    <t>/api/v1/annotation/export/iob</t>
  </si>
  <si>
    <t>Get zip file of conll files from user/system annotation</t>
  </si>
  <si>
    <t>/api/v1/attribute/add</t>
  </si>
  <si>
    <t>Add one or more attributes</t>
  </si>
  <si>
    <t>/api/v1/attribute/edit</t>
  </si>
  <si>
    <t>Update one or more attributes</t>
  </si>
  <si>
    <t>/api/v1/attribute/delete</t>
  </si>
  <si>
    <t>Delete one or more attributes</t>
  </si>
  <si>
    <t>/api/v1/attribute/names</t>
  </si>
  <si>
    <t>Get list of all attribute name(s), if configured</t>
  </si>
  <si>
    <t>/api/v1/attribute/attribute/mapping</t>
  </si>
  <si>
    <t>Get list of all attribute-to-attribute mapping</t>
  </si>
  <si>
    <t>/api/v1/attribute/sortkey</t>
  </si>
  <si>
    <t>Get sort key for attributes</t>
  </si>
  <si>
    <t>/api/v1/attribute/document</t>
  </si>
  <si>
    <t>Get list of all (document) attributes</t>
  </si>
  <si>
    <t>/api/v1/attribute/attachment</t>
  </si>
  <si>
    <t>Get list of all (attachment) attribute(s) using docId or selected ones using [docId+attachmentId in CSV]</t>
  </si>
  <si>
    <t>/api/v1/attribute/export</t>
  </si>
  <si>
    <t>Export list of all (document and attachment) attributes</t>
  </si>
  <si>
    <t>/api/v1/attribute/values</t>
  </si>
  <si>
    <t>Get list of allowed value(s) for attribute(s), if configured</t>
  </si>
  <si>
    <t>/api/v1/attribute/notification</t>
  </si>
  <si>
    <t>Get notifications for attribute(s) based on business rules configured</t>
  </si>
  <si>
    <t>/api/v1/multiattribute/manage</t>
  </si>
  <si>
    <t>Add/update/delete multi-attribute at document/attachment level</t>
  </si>
  <si>
    <t>audit</t>
  </si>
  <si>
    <t>/api/v1/audit/document</t>
  </si>
  <si>
    <t>Get audit details</t>
  </si>
  <si>
    <t>/api/v1/audit/user</t>
  </si>
  <si>
    <t>Add audit details at case level</t>
  </si>
  <si>
    <t>Add outbound email</t>
  </si>
  <si>
    <t>Get saved outbound email draft. If none exists, then return the outbound email structure</t>
  </si>
  <si>
    <t>Add outbound email draft</t>
  </si>
  <si>
    <t>Delete outbound email</t>
  </si>
  <si>
    <t>Update outbound email - task status</t>
  </si>
  <si>
    <t>/api/v1/queue</t>
  </si>
  <si>
    <t>/api/v1/queue/users</t>
  </si>
  <si>
    <t>Get queue users list</t>
  </si>
  <si>
    <t>Get list of queues</t>
  </si>
  <si>
    <t>/api/v1/session/password</t>
  </si>
  <si>
    <t>Change existing user password</t>
  </si>
  <si>
    <t>/api/v1/template</t>
  </si>
  <si>
    <t>/api/v1/template/flattened</t>
  </si>
  <si>
    <t>Returns templates flattened using extracted data</t>
  </si>
  <si>
    <t>/api/v1/user/register</t>
  </si>
  <si>
    <t>STATUS</t>
  </si>
  <si>
    <t>Same</t>
  </si>
  <si>
    <t>not found</t>
  </si>
  <si>
    <t>Added</t>
  </si>
  <si>
    <t>Modified</t>
  </si>
  <si>
    <t>Get list of outbound emails</t>
  </si>
  <si>
    <t>modified description</t>
  </si>
  <si>
    <t>Method</t>
  </si>
  <si>
    <t>GET</t>
  </si>
  <si>
    <t>DELETE</t>
  </si>
  <si>
    <t>POST</t>
  </si>
  <si>
    <t>Returns mapping details of action's parameters with document's attributes</t>
  </si>
  <si>
    <t>PUT</t>
  </si>
  <si>
    <t>Global Roles</t>
  </si>
  <si>
    <t>Role</t>
  </si>
  <si>
    <t>Module</t>
  </si>
  <si>
    <t>Verb</t>
  </si>
  <si>
    <t>Feature</t>
  </si>
  <si>
    <t>Feature Description</t>
  </si>
  <si>
    <t>admin</t>
  </si>
  <si>
    <t>manager</t>
  </si>
  <si>
    <t>agent</t>
  </si>
  <si>
    <t>guest</t>
  </si>
  <si>
    <t>service</t>
  </si>
  <si>
    <t>beta-user</t>
  </si>
  <si>
    <t>supervisor</t>
  </si>
  <si>
    <t>UI</t>
  </si>
  <si>
    <t>list</t>
  </si>
  <si>
    <t>View queue list</t>
  </si>
  <si>
    <t>X</t>
  </si>
  <si>
    <t>manage</t>
  </si>
  <si>
    <t>Manage queues (assign queue to user)</t>
  </si>
  <si>
    <t>0 or 1?</t>
  </si>
  <si>
    <t>case</t>
  </si>
  <si>
    <t>View case list</t>
  </si>
  <si>
    <t>assign-user</t>
  </si>
  <si>
    <t>Assign case to self</t>
  </si>
  <si>
    <t>reassign-user</t>
  </si>
  <si>
    <t>Assign case to someone else</t>
  </si>
  <si>
    <t>close</t>
  </si>
  <si>
    <t>Close case</t>
  </si>
  <si>
    <t>view</t>
  </si>
  <si>
    <t>View case detail</t>
  </si>
  <si>
    <t>View case history</t>
  </si>
  <si>
    <t>View document</t>
  </si>
  <si>
    <t>create</t>
  </si>
  <si>
    <t>Create document</t>
  </si>
  <si>
    <t>annotation</t>
  </si>
  <si>
    <t>View annotation</t>
  </si>
  <si>
    <t>Create annotation</t>
  </si>
  <si>
    <t>View attribute</t>
  </si>
  <si>
    <t>Create attribute</t>
  </si>
  <si>
    <t>edit</t>
  </si>
  <si>
    <t>Edit attribute</t>
  </si>
  <si>
    <t>delete</t>
  </si>
  <si>
    <t>Delete attribute</t>
  </si>
  <si>
    <t>reextract</t>
  </si>
  <si>
    <t>Reextract attribute</t>
  </si>
  <si>
    <t>accept</t>
  </si>
  <si>
    <t>Accept reextract</t>
  </si>
  <si>
    <t>View action list</t>
  </si>
  <si>
    <t>View action details</t>
  </si>
  <si>
    <t>Create new action</t>
  </si>
  <si>
    <t>Delete a queue</t>
  </si>
  <si>
    <t>Do NOT use</t>
  </si>
  <si>
    <t>action-list</t>
  </si>
  <si>
    <t>action-create</t>
  </si>
  <si>
    <t>http://vainpdblr15:8080/docwb/#/home/myqueues</t>
  </si>
  <si>
    <t>Web page URL</t>
  </si>
  <si>
    <t>#</t>
  </si>
  <si>
    <t>queue-list</t>
  </si>
  <si>
    <t>View queues</t>
  </si>
  <si>
    <t>http://vainpdblr15:8080/docwb/#/home/worklist/11/100</t>
  </si>
  <si>
    <t>View list of cases</t>
  </si>
  <si>
    <t>case-list</t>
  </si>
  <si>
    <t>User</t>
  </si>
  <si>
    <t>Comment</t>
  </si>
  <si>
    <t>action-view</t>
  </si>
  <si>
    <t>attribute-view</t>
  </si>
  <si>
    <t>attribute-create</t>
  </si>
  <si>
    <t>attribute-delete</t>
  </si>
  <si>
    <t>attribute-edit</t>
  </si>
  <si>
    <t>annotation-view</t>
  </si>
  <si>
    <t>case-close</t>
  </si>
  <si>
    <t>user-manage</t>
  </si>
  <si>
    <t>john</t>
  </si>
  <si>
    <t>case-view</t>
  </si>
  <si>
    <t>http://vainpdblr15:8080/docwb/#/home/workdata/11/1014334</t>
  </si>
  <si>
    <t>http://vainpdblr15:8080/docwb/#/home/worklist/11/200</t>
  </si>
  <si>
    <t>View list of cases in progress</t>
  </si>
  <si>
    <t>case-reassign-user</t>
  </si>
  <si>
    <t>Closes a case</t>
  </si>
  <si>
    <t>case-assign-user</t>
  </si>
  <si>
    <t>http://vainpdblr15:8080/docwb/#/home/workdata/11/1001844</t>
  </si>
  <si>
    <t>http://vainpdblr15:8080/docwb/#/home/workdata/11/1001845</t>
  </si>
  <si>
    <t>case-history</t>
  </si>
  <si>
    <t>http://vainpdblr15:8080/docwb/#/home/workdata/11/1001861</t>
  </si>
  <si>
    <t>http://vainpdblr15:8080/docwb/#/home/workdata/11/1001862</t>
  </si>
  <si>
    <t>Admin</t>
  </si>
  <si>
    <t>http://vainpdblr15:8080/docwb/#/home/admin/userlist</t>
  </si>
  <si>
    <t>View user history details</t>
  </si>
  <si>
    <t>Capability</t>
  </si>
  <si>
    <t>Change the role of user</t>
  </si>
  <si>
    <t>View user list and access details</t>
  </si>
  <si>
    <t>Enable/Disable a user</t>
  </si>
  <si>
    <t xml:space="preserve"> specific queue access can be provided/removed</t>
  </si>
  <si>
    <t>Assign case to self from unassigned in NEW</t>
  </si>
  <si>
    <t>View cases assigned to self</t>
  </si>
  <si>
    <t>core</t>
  </si>
  <si>
    <t>Mandatory features</t>
  </si>
  <si>
    <t>core-view</t>
  </si>
  <si>
    <t>core-edit</t>
  </si>
  <si>
    <t>View user details</t>
  </si>
  <si>
    <t>Edit user details</t>
  </si>
  <si>
    <t>user-edit</t>
  </si>
  <si>
    <t>user-view</t>
  </si>
  <si>
    <t>attachment-view</t>
  </si>
  <si>
    <t>attachment-create</t>
  </si>
  <si>
    <t>Status</t>
  </si>
  <si>
    <t>Done</t>
  </si>
  <si>
    <t>multiattribute</t>
  </si>
  <si>
    <t>View outbound emails</t>
  </si>
  <si>
    <t>Create outbound email</t>
  </si>
  <si>
    <t>outbound-email</t>
  </si>
  <si>
    <t>outbound-email-view</t>
  </si>
  <si>
    <t>outbound-email-create</t>
  </si>
  <si>
    <t>outbound-email-delete</t>
  </si>
  <si>
    <t>View outbound email list</t>
  </si>
  <si>
    <t>outbound-email-list</t>
  </si>
  <si>
    <t>Edit outbound email</t>
  </si>
  <si>
    <t>outbound-email-edit</t>
  </si>
  <si>
    <t>Delete user details</t>
  </si>
  <si>
    <t>user-delete</t>
  </si>
  <si>
    <t>Edit action details</t>
  </si>
  <si>
    <t>action-edit</t>
  </si>
  <si>
    <t>Delete action</t>
  </si>
  <si>
    <t>action-delete</t>
  </si>
  <si>
    <t>/api/v1/action?docId=1000742</t>
  </si>
  <si>
    <t>Get list of actions along with details for a given docId</t>
  </si>
  <si>
    <t>audit-case</t>
  </si>
  <si>
    <t>Add case history</t>
  </si>
  <si>
    <t>audit-user</t>
  </si>
  <si>
    <t>View user history</t>
  </si>
  <si>
    <t>audit-user-view</t>
  </si>
  <si>
    <t>audit-case-view</t>
  </si>
  <si>
    <t>audit-case-create</t>
  </si>
  <si>
    <t>View attributes across cases</t>
  </si>
  <si>
    <t>attribute-list</t>
  </si>
  <si>
    <t>Create case</t>
  </si>
  <si>
    <t>case-create</t>
  </si>
  <si>
    <t>Delete case</t>
  </si>
  <si>
    <t>case-delete</t>
  </si>
  <si>
    <t>Edit case</t>
  </si>
  <si>
    <t>case-edit</t>
  </si>
  <si>
    <t>Reassign case to queue</t>
  </si>
  <si>
    <t>reassign-queue</t>
  </si>
  <si>
    <t>action-read-only</t>
  </si>
  <si>
    <t>action-modify</t>
  </si>
  <si>
    <t>S No.</t>
  </si>
  <si>
    <t>Create attachment</t>
  </si>
  <si>
    <t>Page Name</t>
  </si>
  <si>
    <t>Page URL</t>
  </si>
  <si>
    <t>http://vainpdblr15:8080/docwb/</t>
  </si>
  <si>
    <t>Login</t>
  </si>
  <si>
    <t>All</t>
  </si>
  <si>
    <t>Page Element Name</t>
  </si>
  <si>
    <t>Page Element Type</t>
  </si>
  <si>
    <t>http://vainpdblr15:8080/docwb/#/registration</t>
  </si>
  <si>
    <t>User Registration</t>
  </si>
  <si>
    <t>User registration</t>
  </si>
  <si>
    <t>User login</t>
  </si>
  <si>
    <t>Dropdown</t>
  </si>
  <si>
    <t>User History</t>
  </si>
  <si>
    <t>Button</t>
  </si>
  <si>
    <t>Enabled</t>
  </si>
  <si>
    <t>Checkbox</t>
  </si>
  <si>
    <t>User List</t>
  </si>
  <si>
    <t>Table</t>
  </si>
  <si>
    <t>Queue</t>
  </si>
  <si>
    <t>Save</t>
  </si>
  <si>
    <t>Save user details</t>
  </si>
  <si>
    <t>DO NOT USE THIS ROW</t>
  </si>
  <si>
    <t>View user list</t>
  </si>
  <si>
    <t>user-list</t>
  </si>
  <si>
    <t>Provide access to queue for selected user</t>
  </si>
  <si>
    <t>Home</t>
  </si>
  <si>
    <t>Tree Menu</t>
  </si>
  <si>
    <t>My Queues</t>
  </si>
  <si>
    <t>Home |  My Queues | &lt;Queue Name&gt; | 
 &lt;Case Status&gt;</t>
  </si>
  <si>
    <t>&lt;Case List&gt;</t>
  </si>
  <si>
    <t>Assign To Me</t>
  </si>
  <si>
    <t>Link</t>
  </si>
  <si>
    <t>Reassign case to someone else</t>
  </si>
  <si>
    <t>Reassign</t>
  </si>
  <si>
    <t>Close</t>
  </si>
  <si>
    <t>Home |  My Queues | &lt;Queue Name&gt; | 
 Case ###</t>
  </si>
  <si>
    <t>&lt;document name&gt;</t>
  </si>
  <si>
    <t>Tab</t>
  </si>
  <si>
    <t>Icon</t>
  </si>
  <si>
    <t>Download</t>
  </si>
  <si>
    <t>Annotations</t>
  </si>
  <si>
    <t>Toggle</t>
  </si>
  <si>
    <t>Extracted Data</t>
  </si>
  <si>
    <t>View attributes on case</t>
  </si>
  <si>
    <t>View annotations on case</t>
  </si>
  <si>
    <t>Download attachment(s) on case</t>
  </si>
  <si>
    <t>View attachment(s) on case</t>
  </si>
  <si>
    <t>Add</t>
  </si>
  <si>
    <t>Add new attribute on a case</t>
  </si>
  <si>
    <t>Delete</t>
  </si>
  <si>
    <t>Delete existing attributes on case</t>
  </si>
  <si>
    <t>Textbox</t>
  </si>
  <si>
    <t>Edit existing attributes on case</t>
  </si>
  <si>
    <t>&lt;None&gt;</t>
  </si>
  <si>
    <t>Term</t>
  </si>
  <si>
    <t>Type</t>
  </si>
  <si>
    <t>Standard</t>
  </si>
  <si>
    <t>Edit an entity</t>
  </si>
  <si>
    <t>View an entity</t>
  </si>
  <si>
    <t>List a group of similar entities. E.g. list of cases, list of users, list of attributes across cases
Note: List of attributes/attachments within a case is NOT considered "list" as it falls under "view"</t>
  </si>
  <si>
    <t>case-user</t>
  </si>
  <si>
    <t>Create an entity (logical)</t>
  </si>
  <si>
    <t>Delete an entity (logical)</t>
  </si>
  <si>
    <t>Entity</t>
  </si>
  <si>
    <t>A logical unit/functionality</t>
  </si>
  <si>
    <t>Any logical activity that can be performed on an entity</t>
  </si>
  <si>
    <t>Concatenation of entity and verb</t>
  </si>
  <si>
    <t>case-user-create</t>
  </si>
  <si>
    <t>case-user-edit</t>
  </si>
  <si>
    <t>Type of Change</t>
  </si>
  <si>
    <t>Config</t>
  </si>
  <si>
    <t>Code</t>
  </si>
  <si>
    <t>API unique Validation</t>
  </si>
  <si>
    <t>Feature Validation</t>
  </si>
  <si>
    <t>Save modified attributes</t>
  </si>
  <si>
    <t>No changes required</t>
  </si>
  <si>
    <t>Rextract attributes on case</t>
  </si>
  <si>
    <t>Actions</t>
  </si>
  <si>
    <t>View list of actions on case</t>
  </si>
  <si>
    <t>Re-Extract</t>
  </si>
  <si>
    <t>Show Actions</t>
  </si>
  <si>
    <t>View list of possible actions on case</t>
  </si>
  <si>
    <t>Home |  My Queues | &lt;Queue Name&gt; | 
 Case ### | Perform Action</t>
  </si>
  <si>
    <t>Execute</t>
  </si>
  <si>
    <t>Create new action on case</t>
  </si>
  <si>
    <t>Case History</t>
  </si>
  <si>
    <t>http://vainpdblr15:8080/emailwb/#/home/workdata/3/1001358</t>
  </si>
  <si>
    <t>Outbound Emails</t>
  </si>
  <si>
    <t>View list of outbound emails on case</t>
  </si>
  <si>
    <t>Compose Email</t>
  </si>
  <si>
    <t>Bring up compose email screen</t>
  </si>
  <si>
    <t>Save Draft</t>
  </si>
  <si>
    <t>Save in-progress email as draft</t>
  </si>
  <si>
    <t>Send Email</t>
  </si>
  <si>
    <t>Send outbound email from case</t>
  </si>
  <si>
    <t>RoleTypeCde</t>
  </si>
  <si>
    <t>RoleTypeTxt</t>
  </si>
  <si>
    <t>Username</t>
  </si>
  <si>
    <t>Password</t>
  </si>
  <si>
    <t>docwbadmin</t>
  </si>
  <si>
    <t>docwbagent</t>
  </si>
  <si>
    <t>docwbmanager</t>
  </si>
  <si>
    <t>GUEST</t>
  </si>
  <si>
    <t>docwbguest</t>
  </si>
  <si>
    <t>SERVICE</t>
  </si>
  <si>
    <t>docwbservice</t>
  </si>
  <si>
    <t>close_case</t>
  </si>
  <si>
    <t>audit_case</t>
  </si>
  <si>
    <t>audit_user</t>
  </si>
  <si>
    <t>outbound_email</t>
  </si>
  <si>
    <t>outbound_email-view</t>
  </si>
  <si>
    <t>audit_case-view</t>
  </si>
  <si>
    <t>audit_case-create</t>
  </si>
  <si>
    <t>audit_user-view</t>
  </si>
  <si>
    <t>close_case-edit</t>
  </si>
  <si>
    <t>outbound_email-edit</t>
  </si>
  <si>
    <t>outbound_email-create</t>
  </si>
  <si>
    <t>outbound_email-delete</t>
  </si>
  <si>
    <t>outbound_email-list</t>
  </si>
  <si>
    <t>Dev Environment users created for testing</t>
  </si>
  <si>
    <t xml:space="preserve">API - Hit Count </t>
  </si>
  <si>
    <t>UI - Hit Count</t>
  </si>
  <si>
    <t>Traceability</t>
  </si>
  <si>
    <t>Status-Comment</t>
  </si>
  <si>
    <t>Flow</t>
  </si>
  <si>
    <t>UI Implementation?</t>
  </si>
  <si>
    <t>No</t>
  </si>
  <si>
    <t>View actions across cases</t>
  </si>
  <si>
    <t>View outbound email list across cases</t>
  </si>
  <si>
    <t>Assign case to user</t>
  </si>
  <si>
    <t>Get list of cases</t>
  </si>
  <si>
    <t>Get list of actions across cases</t>
  </si>
  <si>
    <t>Get list of outbound emails across cases</t>
  </si>
  <si>
    <t>Service - Hit Count</t>
  </si>
  <si>
    <t>Update case status</t>
  </si>
  <si>
    <t>Verify if reqd</t>
  </si>
  <si>
    <t>??</t>
  </si>
  <si>
    <t>Yes</t>
  </si>
  <si>
    <t>View attribute(s) on case</t>
  </si>
  <si>
    <t>View attachment on case</t>
  </si>
  <si>
    <t>Create attribute on case</t>
  </si>
  <si>
    <t>Delete attribute on case</t>
  </si>
  <si>
    <t>Edit attribute on case</t>
  </si>
  <si>
    <t>View action(s) on case</t>
  </si>
  <si>
    <t>Assign (assigned) case to someone else</t>
  </si>
  <si>
    <t>Assign (unassigned) case (to self)</t>
  </si>
  <si>
    <t>Add entry to case history</t>
  </si>
  <si>
    <t>Service E.g.</t>
  </si>
  <si>
    <t>Engine , CaseCreator</t>
  </si>
  <si>
    <t>Note: Status is based on changes upto changeset # 18257</t>
  </si>
  <si>
    <t>18201 - Chitra</t>
  </si>
  <si>
    <t>Reextract/Modify</t>
  </si>
  <si>
    <t>To select attributes for reextraction</t>
  </si>
  <si>
    <r>
      <rPr>
        <b/>
        <sz val="11"/>
        <color theme="1"/>
        <rFont val="Calibri"/>
        <family val="2"/>
        <scheme val="minor"/>
      </rPr>
      <t xml:space="preserve">Special case: </t>
    </r>
    <r>
      <rPr>
        <sz val="11"/>
        <color theme="1"/>
        <rFont val="Calibri"/>
        <family val="2"/>
        <scheme val="minor"/>
      </rPr>
      <t xml:space="preserve">
attribute-create
 + attribute-edit
 + attribute-delete</t>
    </r>
  </si>
  <si>
    <t>30a</t>
  </si>
  <si>
    <t>rbac</t>
  </si>
  <si>
    <t>30b</t>
  </si>
  <si>
    <t>View RBAC configuration</t>
  </si>
  <si>
    <t>View app variable -RBAC configuration</t>
  </si>
  <si>
    <t>Edit app vairbale - RBAC configuration</t>
  </si>
  <si>
    <t>16a</t>
  </si>
  <si>
    <t>audit_rbac</t>
  </si>
  <si>
    <t xml:space="preserve">View app variable -RBAC history </t>
  </si>
  <si>
    <t>8a</t>
  </si>
  <si>
    <t>Home |  Configuration | Manage Users</t>
  </si>
  <si>
    <t>Home |  Configuration | Manage RBAC</t>
  </si>
  <si>
    <t>8b</t>
  </si>
  <si>
    <t>8c</t>
  </si>
  <si>
    <t>RBAC</t>
  </si>
  <si>
    <t>rbac-view</t>
  </si>
  <si>
    <t>Save RBAC configuration updates</t>
  </si>
  <si>
    <t>rbac-edit</t>
  </si>
  <si>
    <t>Refresh button also</t>
  </si>
  <si>
    <t>Cancel button also</t>
  </si>
  <si>
    <t>RBAC History</t>
  </si>
  <si>
    <t>View RBAC history details</t>
  </si>
  <si>
    <t>audit_rbac-view</t>
  </si>
  <si>
    <t>http://vainpdblr15:8080/docwb/#/home/configuration/rbac</t>
  </si>
  <si>
    <t>http://vainpdblr15:8080/docwb/#/home/configuration/userlist</t>
  </si>
  <si>
    <t>variable</t>
  </si>
  <si>
    <t>/api/v1/variable</t>
  </si>
  <si>
    <t>/api/v1/variable/{appvariablekey}</t>
  </si>
  <si>
    <t>Get app variable value for given variable key</t>
  </si>
  <si>
    <t>Update app variable value</t>
  </si>
  <si>
    <t>New feature</t>
  </si>
  <si>
    <t>34a</t>
  </si>
  <si>
    <t>/api/v1/audit/variable</t>
  </si>
  <si>
    <t>Get app variable audit details</t>
  </si>
  <si>
    <t>30c</t>
  </si>
  <si>
    <t>Create new queue</t>
  </si>
  <si>
    <t>53a</t>
  </si>
  <si>
    <t>Add a new queue</t>
  </si>
  <si>
    <t>queue-create</t>
  </si>
  <si>
    <t>14a</t>
  </si>
  <si>
    <t>attribute_source</t>
  </si>
  <si>
    <t>View attribute source on case</t>
  </si>
  <si>
    <t>19a</t>
  </si>
  <si>
    <t>View attributes source on case</t>
  </si>
  <si>
    <t>attribute_source-view</t>
  </si>
  <si>
    <t>11a</t>
  </si>
  <si>
    <t>10a</t>
  </si>
  <si>
    <t>attribute_annotation</t>
  </si>
  <si>
    <t>Create attribute annotation on case</t>
  </si>
  <si>
    <t>Delete attribute annotation on case</t>
  </si>
  <si>
    <t>14b</t>
  </si>
  <si>
    <t>View attribute annotation(s) on case</t>
  </si>
  <si>
    <t>16b</t>
  </si>
  <si>
    <t>attribute_annotation-view</t>
  </si>
  <si>
    <t>16c</t>
  </si>
  <si>
    <t>LHS delete annotations on case</t>
  </si>
  <si>
    <t>attribute_annotation-delete</t>
  </si>
  <si>
    <t>LHS add annotations on case</t>
  </si>
  <si>
    <t>attribute_annotation-create</t>
  </si>
  <si>
    <t>11b</t>
  </si>
  <si>
    <t>11c</t>
  </si>
  <si>
    <t>11d</t>
  </si>
  <si>
    <t>View attribute annotation on case</t>
  </si>
  <si>
    <t>LHS Delete attribute annotation on case</t>
  </si>
  <si>
    <t>LHS Add attribute annotation on case</t>
  </si>
  <si>
    <t>14c</t>
  </si>
  <si>
    <t>attribute_extractionpath</t>
  </si>
  <si>
    <t>View attribute extractionpath on case</t>
  </si>
  <si>
    <t>19b</t>
  </si>
  <si>
    <t>Home |  My Queues | &lt;Queue Name&gt; | 
 Case ### | Extraction Path attachmentId</t>
  </si>
  <si>
    <t>Extraction Path</t>
  </si>
  <si>
    <t>attribute_extractionpath-view</t>
  </si>
  <si>
    <t>http://vainpdblr15:8080/docwb/#/home/workdata/11/1001844/extractionpath/2323</t>
  </si>
  <si>
    <t>19c</t>
  </si>
  <si>
    <t>11e</t>
  </si>
  <si>
    <t>Attribute Extraction Path on case</t>
  </si>
  <si>
    <t>Home | Dashboard</t>
  </si>
  <si>
    <t>All Cases</t>
  </si>
  <si>
    <t>dashboard_case_all</t>
  </si>
  <si>
    <t>dashboard_case_my</t>
  </si>
  <si>
    <t>dashboard_case_team</t>
  </si>
  <si>
    <t xml:space="preserve">View logged in user's queues total case count </t>
  </si>
  <si>
    <t xml:space="preserve">View logged in user's assigned case count </t>
  </si>
  <si>
    <t>View logged in user's team members assigned case count</t>
  </si>
  <si>
    <t>dashboard_case_all-view</t>
  </si>
  <si>
    <t>http://vainpdblr15/docwb/#/home/dashboard</t>
  </si>
  <si>
    <t>Git Hub #526</t>
  </si>
  <si>
    <t>Team Cases</t>
  </si>
  <si>
    <t>To see all cases count</t>
  </si>
  <si>
    <t>To filter for team members to see individual case count</t>
  </si>
  <si>
    <t>dashboard_case_team-view</t>
  </si>
  <si>
    <t>/api/v1/audit/document/currentuser</t>
  </si>
  <si>
    <t>Get case level audit history of currently logged in user</t>
  </si>
  <si>
    <t>34b</t>
  </si>
  <si>
    <t>62a</t>
  </si>
  <si>
    <t>/api/v1/user/team/currentuser</t>
  </si>
  <si>
    <t>Get list of teammates of currently logged in user.</t>
  </si>
  <si>
    <t>user_team</t>
  </si>
  <si>
    <t>View team members of user</t>
  </si>
  <si>
    <t>user_team-list</t>
  </si>
  <si>
    <t>Added (Dashboard)</t>
  </si>
  <si>
    <t>For Future consideration</t>
  </si>
  <si>
    <t>53b</t>
  </si>
  <si>
    <t>/api/v1/queue/currentuser</t>
  </si>
  <si>
    <t>Save personal queue visibility details</t>
  </si>
  <si>
    <t>queue_user</t>
  </si>
  <si>
    <t>Update user queue visibility</t>
  </si>
  <si>
    <t>30d</t>
  </si>
  <si>
    <t>30e</t>
  </si>
  <si>
    <t>View user queue details</t>
  </si>
  <si>
    <t xml:space="preserve">Update queue </t>
  </si>
  <si>
    <t>30f</t>
  </si>
  <si>
    <t>queue_user-edit</t>
  </si>
  <si>
    <t>54c</t>
  </si>
  <si>
    <t>Get personal queue visibility details</t>
  </si>
  <si>
    <t>queue_user-view</t>
  </si>
  <si>
    <t>Data Entry Complete</t>
  </si>
  <si>
    <t>View Action on case</t>
  </si>
  <si>
    <t>maker_action</t>
  </si>
  <si>
    <t>checker_action</t>
  </si>
  <si>
    <t>Create new action by maker</t>
  </si>
  <si>
    <t>Create new action by checker</t>
  </si>
  <si>
    <t>3a</t>
  </si>
  <si>
    <t>3b</t>
  </si>
  <si>
    <t>Data Entry Reject</t>
  </si>
  <si>
    <t>Data Entry Approve</t>
  </si>
  <si>
    <t>Git Hub #550</t>
  </si>
  <si>
    <t>53c</t>
  </si>
  <si>
    <t>53d</t>
  </si>
  <si>
    <t>Case Reviewer</t>
  </si>
  <si>
    <t>Assign case to reviewer</t>
  </si>
  <si>
    <t>allow</t>
  </si>
  <si>
    <t>Indicates whether a feature is allowed (or not). E.g. Ability to be a owner/reviewer etc. of a case should not be allowed for all.</t>
  </si>
  <si>
    <t>7a</t>
  </si>
  <si>
    <t>7b</t>
  </si>
  <si>
    <t>7c</t>
  </si>
  <si>
    <t>action_data_entry_approved</t>
  </si>
  <si>
    <t>Create new special action - data entry approved</t>
  </si>
  <si>
    <t>action_data_entry_rejected</t>
  </si>
  <si>
    <t>action_data_entry_completed</t>
  </si>
  <si>
    <t>Create new special action - data entry completed</t>
  </si>
  <si>
    <t>Create new special action - data entry rejected</t>
  </si>
  <si>
    <t>Mohan 01/16/2023 - Added</t>
  </si>
  <si>
    <t>Mohan 01/16/2023 - Deleted</t>
  </si>
  <si>
    <t>case_review-user</t>
  </si>
  <si>
    <t>Mohan 01/16/2023 - Modified</t>
  </si>
  <si>
    <t>Assign (assigned) case to someone else for review</t>
  </si>
  <si>
    <t>Assign (unassigned) case (to anyone) for review</t>
  </si>
  <si>
    <t>24a</t>
  </si>
  <si>
    <t>Comments</t>
  </si>
  <si>
    <t>Required for a user to be a owner of a case</t>
  </si>
  <si>
    <t>Required for a user to be a reviewer of a case</t>
  </si>
  <si>
    <t>action_data_entry_completed-create</t>
  </si>
  <si>
    <t>action_data_entry_approved-create</t>
  </si>
  <si>
    <t>action_data_entry_rejected-create</t>
  </si>
  <si>
    <t>case_review-user-edit</t>
  </si>
  <si>
    <t>case_review-user-allow</t>
  </si>
  <si>
    <t>case_review-user-create</t>
  </si>
  <si>
    <t>Sridatta 01/17/2023 - Added</t>
  </si>
  <si>
    <t>case-user-allow</t>
  </si>
  <si>
    <t xml:space="preserve">Git Hub #550 </t>
  </si>
  <si>
    <t>Required for a user to be eligible for being a case owner</t>
  </si>
  <si>
    <t>Required for a user to be eligible for being a case reviewer</t>
  </si>
  <si>
    <t>The feature must not be used to control the access to the API of the logged in user's role.</t>
  </si>
  <si>
    <t>Note:</t>
  </si>
  <si>
    <t>The feature must be used to filter the data based on other users' role and not for logged in user's role.</t>
  </si>
  <si>
    <t>Reassign case to reviewer</t>
  </si>
  <si>
    <t>case-user-view</t>
  </si>
  <si>
    <t>Raj 01/24/2023 - Added</t>
  </si>
  <si>
    <t>View case user list</t>
  </si>
  <si>
    <t>Get document user list</t>
  </si>
  <si>
    <t>Case Owner</t>
  </si>
  <si>
    <t>Label</t>
  </si>
  <si>
    <t>Git Hub #574</t>
  </si>
  <si>
    <t>Case Owner, Case Reviewer</t>
  </si>
  <si>
    <t>Add parent-child relationship records between two attachments</t>
  </si>
  <si>
    <t>/api/v1/attachment/attachment</t>
  </si>
  <si>
    <t>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</si>
</sst>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3B415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0"/>
      <color rgb="FF3B4151"/>
      <name val="Arial"/>
      <family val="2"/>
    </font>
    <font>
      <strike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6" borderId="0" applyNumberFormat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1" applyFont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4" borderId="3" xfId="0" applyFill="1" applyBorder="1"/>
    <xf numFmtId="0" fontId="0" fillId="4" borderId="0" xfId="0" applyFill="1"/>
    <xf numFmtId="0" fontId="0" fillId="3" borderId="0" xfId="0" applyFill="1"/>
    <xf numFmtId="0" fontId="2" fillId="0" borderId="0" xfId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1" applyFont="1" applyFill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ont="1" applyAlignment="1">
      <alignment horizontal="center"/>
    </xf>
    <xf numFmtId="0" fontId="7" fillId="0" borderId="0" xfId="0" applyFont="1" applyFill="1"/>
    <xf numFmtId="0" fontId="7" fillId="4" borderId="0" xfId="0" applyFont="1" applyFill="1" applyAlignment="1">
      <alignment horizontal="center"/>
    </xf>
    <xf numFmtId="0" fontId="7" fillId="0" borderId="0" xfId="0" applyFont="1"/>
    <xf numFmtId="0" fontId="6" fillId="6" borderId="0" xfId="2" applyAlignment="1">
      <alignment horizontal="center" vertical="center" wrapText="1"/>
    </xf>
    <xf numFmtId="0" fontId="0" fillId="4" borderId="0" xfId="0" applyFont="1" applyFill="1" applyAlignment="1">
      <alignment horizontal="center"/>
    </xf>
    <xf numFmtId="0" fontId="0" fillId="0" borderId="0" xfId="0" applyFont="1"/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4" xfId="0" applyFont="1" applyBorder="1" applyAlignment="1">
      <alignment horizontal="center" vertical="center" wrapText="1"/>
    </xf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3" borderId="4" xfId="0" applyFill="1" applyBorder="1"/>
    <xf numFmtId="0" fontId="0" fillId="2" borderId="4" xfId="0" applyFill="1" applyBorder="1" applyAlignment="1">
      <alignment horizontal="center"/>
    </xf>
    <xf numFmtId="0" fontId="0" fillId="2" borderId="4" xfId="0" applyFont="1" applyFill="1" applyBorder="1" applyAlignment="1">
      <alignment horizontal="left"/>
    </xf>
    <xf numFmtId="0" fontId="0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4" xfId="0" applyFont="1" applyFill="1" applyBorder="1" applyAlignment="1">
      <alignment horizontal="left"/>
    </xf>
    <xf numFmtId="0" fontId="0" fillId="0" borderId="4" xfId="1" applyFont="1" applyBorder="1" applyAlignment="1">
      <alignment horizontal="left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5" borderId="4" xfId="1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6" fillId="3" borderId="4" xfId="2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9" borderId="4" xfId="0" applyFill="1" applyBorder="1"/>
    <xf numFmtId="0" fontId="0" fillId="0" borderId="0" xfId="0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Border="1"/>
    <xf numFmtId="0" fontId="2" fillId="0" borderId="4" xfId="1" applyBorder="1"/>
    <xf numFmtId="0" fontId="0" fillId="7" borderId="6" xfId="0" applyFill="1" applyBorder="1"/>
    <xf numFmtId="0" fontId="1" fillId="11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top"/>
    </xf>
    <xf numFmtId="0" fontId="0" fillId="7" borderId="4" xfId="0" applyFill="1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0" fillId="9" borderId="4" xfId="0" applyFont="1" applyFill="1" applyBorder="1"/>
    <xf numFmtId="0" fontId="0" fillId="0" borderId="4" xfId="0" applyFont="1" applyBorder="1"/>
    <xf numFmtId="0" fontId="0" fillId="9" borderId="4" xfId="0" applyFill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3">
    <cellStyle name="Bad" xfId="2" builtinId="27"/>
    <cellStyle name="Hyperlink" xfId="1" builtinId="8"/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docwb/swagger/index.html" TargetMode="External"/><Relationship Id="rId13" Type="http://schemas.openxmlformats.org/officeDocument/2006/relationships/hyperlink" Target="http://localhost:8080/docwb/swagger/index.html" TargetMode="External"/><Relationship Id="rId18" Type="http://schemas.openxmlformats.org/officeDocument/2006/relationships/hyperlink" Target="http://localhost:8080/docwb/swagger/index.html" TargetMode="External"/><Relationship Id="rId26" Type="http://schemas.openxmlformats.org/officeDocument/2006/relationships/hyperlink" Target="http://localhost:8080/docwb/swagger/index.html" TargetMode="External"/><Relationship Id="rId3" Type="http://schemas.openxmlformats.org/officeDocument/2006/relationships/hyperlink" Target="http://localhost:8080/docwb/swagger/index.html" TargetMode="External"/><Relationship Id="rId21" Type="http://schemas.openxmlformats.org/officeDocument/2006/relationships/hyperlink" Target="http://localhost:8080/docwb/swagger/index.html" TargetMode="External"/><Relationship Id="rId7" Type="http://schemas.openxmlformats.org/officeDocument/2006/relationships/hyperlink" Target="http://localhost:8080/docwb/swagger/index.html" TargetMode="External"/><Relationship Id="rId12" Type="http://schemas.openxmlformats.org/officeDocument/2006/relationships/hyperlink" Target="http://localhost:8080/docwb/swagger/index.html" TargetMode="External"/><Relationship Id="rId17" Type="http://schemas.openxmlformats.org/officeDocument/2006/relationships/hyperlink" Target="http://localhost:8080/docwb/swagger/index.html" TargetMode="External"/><Relationship Id="rId25" Type="http://schemas.openxmlformats.org/officeDocument/2006/relationships/hyperlink" Target="http://localhost:8080/docwb/swagger/index.html" TargetMode="External"/><Relationship Id="rId2" Type="http://schemas.openxmlformats.org/officeDocument/2006/relationships/hyperlink" Target="http://localhost:8080/docwb/swagger/index.html" TargetMode="External"/><Relationship Id="rId16" Type="http://schemas.openxmlformats.org/officeDocument/2006/relationships/hyperlink" Target="http://localhost:8080/docwb/swagger/index.html" TargetMode="External"/><Relationship Id="rId20" Type="http://schemas.openxmlformats.org/officeDocument/2006/relationships/hyperlink" Target="http://localhost:8080/docwb/swagger/index.html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://localhost:8080/docwb/swagger/index.html" TargetMode="External"/><Relationship Id="rId6" Type="http://schemas.openxmlformats.org/officeDocument/2006/relationships/hyperlink" Target="http://localhost:8080/docwb/swagger/index.html" TargetMode="External"/><Relationship Id="rId11" Type="http://schemas.openxmlformats.org/officeDocument/2006/relationships/hyperlink" Target="http://localhost:8080/docwb/swagger/index.html" TargetMode="External"/><Relationship Id="rId24" Type="http://schemas.openxmlformats.org/officeDocument/2006/relationships/hyperlink" Target="http://localhost:8080/docwb/swagger/index.html" TargetMode="External"/><Relationship Id="rId5" Type="http://schemas.openxmlformats.org/officeDocument/2006/relationships/hyperlink" Target="http://localhost:8080/docwb/swagger/index.html" TargetMode="External"/><Relationship Id="rId15" Type="http://schemas.openxmlformats.org/officeDocument/2006/relationships/hyperlink" Target="http://localhost:8080/docwb/swagger/index.html" TargetMode="External"/><Relationship Id="rId23" Type="http://schemas.openxmlformats.org/officeDocument/2006/relationships/hyperlink" Target="http://localhost:8080/docwb/swagger/index.html" TargetMode="External"/><Relationship Id="rId28" Type="http://schemas.openxmlformats.org/officeDocument/2006/relationships/hyperlink" Target="http://localhost:8080/docwb/swagger/index.html" TargetMode="External"/><Relationship Id="rId10" Type="http://schemas.openxmlformats.org/officeDocument/2006/relationships/hyperlink" Target="http://localhost:8080/docwb/swagger/index.html" TargetMode="External"/><Relationship Id="rId19" Type="http://schemas.openxmlformats.org/officeDocument/2006/relationships/hyperlink" Target="http://localhost:8080/docwb/swagger/index.html" TargetMode="External"/><Relationship Id="rId4" Type="http://schemas.openxmlformats.org/officeDocument/2006/relationships/hyperlink" Target="http://localhost:8080/docwb/swagger/index.html" TargetMode="External"/><Relationship Id="rId9" Type="http://schemas.openxmlformats.org/officeDocument/2006/relationships/hyperlink" Target="http://localhost:8080/docwb/swagger/index.html" TargetMode="External"/><Relationship Id="rId14" Type="http://schemas.openxmlformats.org/officeDocument/2006/relationships/hyperlink" Target="http://localhost:8080/docwb/swagger/index.html" TargetMode="External"/><Relationship Id="rId22" Type="http://schemas.openxmlformats.org/officeDocument/2006/relationships/hyperlink" Target="http://localhost:8080/docwb/swagger/index.html" TargetMode="External"/><Relationship Id="rId27" Type="http://schemas.openxmlformats.org/officeDocument/2006/relationships/hyperlink" Target="http://localhost:8080/docwb/swagger/index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vainpdblr15:8080/docwb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0/docwb/swagger/index.html" TargetMode="External"/><Relationship Id="rId18" Type="http://schemas.openxmlformats.org/officeDocument/2006/relationships/hyperlink" Target="http://localhost:8080/docwb/swagger/index.html" TargetMode="External"/><Relationship Id="rId26" Type="http://schemas.openxmlformats.org/officeDocument/2006/relationships/hyperlink" Target="http://localhost:8080/docwb/swagger/index.html" TargetMode="External"/><Relationship Id="rId3" Type="http://schemas.openxmlformats.org/officeDocument/2006/relationships/hyperlink" Target="http://localhost:8080/docwb/swagger/index.html" TargetMode="External"/><Relationship Id="rId21" Type="http://schemas.openxmlformats.org/officeDocument/2006/relationships/hyperlink" Target="http://localhost:8080/docwb/swagger/index.html" TargetMode="External"/><Relationship Id="rId34" Type="http://schemas.openxmlformats.org/officeDocument/2006/relationships/hyperlink" Target="http://localhost:8080/docwb/swagger/index.html" TargetMode="External"/><Relationship Id="rId7" Type="http://schemas.openxmlformats.org/officeDocument/2006/relationships/hyperlink" Target="http://localhost:8080/docwb/swagger/index.html" TargetMode="External"/><Relationship Id="rId12" Type="http://schemas.openxmlformats.org/officeDocument/2006/relationships/hyperlink" Target="http://localhost:8080/docwb/swagger/index.html" TargetMode="External"/><Relationship Id="rId17" Type="http://schemas.openxmlformats.org/officeDocument/2006/relationships/hyperlink" Target="http://localhost:8080/docwb/swagger/index.html" TargetMode="External"/><Relationship Id="rId25" Type="http://schemas.openxmlformats.org/officeDocument/2006/relationships/hyperlink" Target="http://localhost:8080/docwb/swagger/index.html" TargetMode="External"/><Relationship Id="rId33" Type="http://schemas.openxmlformats.org/officeDocument/2006/relationships/hyperlink" Target="http://localhost:8080/docwb/swagger/index.html" TargetMode="External"/><Relationship Id="rId2" Type="http://schemas.openxmlformats.org/officeDocument/2006/relationships/hyperlink" Target="http://localhost:8080/docwb/swagger/index.html" TargetMode="External"/><Relationship Id="rId16" Type="http://schemas.openxmlformats.org/officeDocument/2006/relationships/hyperlink" Target="http://localhost:8080/docwb/swagger/index.html" TargetMode="External"/><Relationship Id="rId20" Type="http://schemas.openxmlformats.org/officeDocument/2006/relationships/hyperlink" Target="http://localhost:8080/docwb/swagger/index.html" TargetMode="External"/><Relationship Id="rId29" Type="http://schemas.openxmlformats.org/officeDocument/2006/relationships/hyperlink" Target="http://localhost:8080/docwb/swagger/index.html" TargetMode="External"/><Relationship Id="rId1" Type="http://schemas.openxmlformats.org/officeDocument/2006/relationships/hyperlink" Target="http://localhost:8080/docwb/swagger/index.html" TargetMode="External"/><Relationship Id="rId6" Type="http://schemas.openxmlformats.org/officeDocument/2006/relationships/hyperlink" Target="http://localhost:8080/docwb/swagger/index.html" TargetMode="External"/><Relationship Id="rId11" Type="http://schemas.openxmlformats.org/officeDocument/2006/relationships/hyperlink" Target="http://localhost:8080/docwb/swagger/index.html" TargetMode="External"/><Relationship Id="rId24" Type="http://schemas.openxmlformats.org/officeDocument/2006/relationships/hyperlink" Target="http://localhost:8080/docwb/swagger/index.html" TargetMode="External"/><Relationship Id="rId32" Type="http://schemas.openxmlformats.org/officeDocument/2006/relationships/hyperlink" Target="http://localhost:8080/docwb/swagger/index.html" TargetMode="External"/><Relationship Id="rId5" Type="http://schemas.openxmlformats.org/officeDocument/2006/relationships/hyperlink" Target="http://localhost:8080/docwb/swagger/index.html" TargetMode="External"/><Relationship Id="rId15" Type="http://schemas.openxmlformats.org/officeDocument/2006/relationships/hyperlink" Target="http://localhost:8080/docwb/swagger/index.html" TargetMode="External"/><Relationship Id="rId23" Type="http://schemas.openxmlformats.org/officeDocument/2006/relationships/hyperlink" Target="http://localhost:8080/docwb/swagger/index.html" TargetMode="External"/><Relationship Id="rId28" Type="http://schemas.openxmlformats.org/officeDocument/2006/relationships/hyperlink" Target="http://localhost:8080/docwb/swagger/index.html" TargetMode="External"/><Relationship Id="rId36" Type="http://schemas.openxmlformats.org/officeDocument/2006/relationships/printerSettings" Target="../printerSettings/printerSettings9.bin"/><Relationship Id="rId10" Type="http://schemas.openxmlformats.org/officeDocument/2006/relationships/hyperlink" Target="http://localhost:8080/docwb/swagger/index.html" TargetMode="External"/><Relationship Id="rId19" Type="http://schemas.openxmlformats.org/officeDocument/2006/relationships/hyperlink" Target="http://localhost:8080/docwb/swagger/index.html" TargetMode="External"/><Relationship Id="rId31" Type="http://schemas.openxmlformats.org/officeDocument/2006/relationships/hyperlink" Target="http://localhost:8080/docwb/swagger/index.html" TargetMode="External"/><Relationship Id="rId4" Type="http://schemas.openxmlformats.org/officeDocument/2006/relationships/hyperlink" Target="http://localhost:8080/docwb/swagger/index.html" TargetMode="External"/><Relationship Id="rId9" Type="http://schemas.openxmlformats.org/officeDocument/2006/relationships/hyperlink" Target="http://localhost:8080/docwb/swagger/index.html" TargetMode="External"/><Relationship Id="rId14" Type="http://schemas.openxmlformats.org/officeDocument/2006/relationships/hyperlink" Target="http://localhost:8080/docwb/swagger/index.html" TargetMode="External"/><Relationship Id="rId22" Type="http://schemas.openxmlformats.org/officeDocument/2006/relationships/hyperlink" Target="http://localhost:8080/docwb/swagger/index.html" TargetMode="External"/><Relationship Id="rId27" Type="http://schemas.openxmlformats.org/officeDocument/2006/relationships/hyperlink" Target="http://localhost:8080/docwb/swagger/index.html" TargetMode="External"/><Relationship Id="rId30" Type="http://schemas.openxmlformats.org/officeDocument/2006/relationships/hyperlink" Target="http://localhost:8080/docwb/swagger/index.html" TargetMode="External"/><Relationship Id="rId35" Type="http://schemas.openxmlformats.org/officeDocument/2006/relationships/hyperlink" Target="http://localhost:8080/docwb/swagger/index.html" TargetMode="External"/><Relationship Id="rId8" Type="http://schemas.openxmlformats.org/officeDocument/2006/relationships/hyperlink" Target="http://localhost:8080/docwb/swagger/index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vainpdblr15:8080/docwb/" TargetMode="External"/><Relationship Id="rId1" Type="http://schemas.openxmlformats.org/officeDocument/2006/relationships/hyperlink" Target="http://vainpdblr15:8080/docw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0F84-EA26-4877-93C5-F0B666FBA56C}">
  <dimension ref="A2:D15"/>
  <sheetViews>
    <sheetView topLeftCell="A4" workbookViewId="0">
      <selection activeCell="B15" sqref="B15"/>
    </sheetView>
  </sheetViews>
  <sheetFormatPr defaultRowHeight="14.5" x14ac:dyDescent="0.35"/>
  <cols>
    <col min="1" max="1" width="5.453125" customWidth="1"/>
    <col min="3" max="3" width="55.81640625" bestFit="1" customWidth="1"/>
  </cols>
  <sheetData>
    <row r="2" spans="1:4" x14ac:dyDescent="0.35">
      <c r="A2" s="50" t="s">
        <v>227</v>
      </c>
      <c r="B2" s="49" t="s">
        <v>372</v>
      </c>
      <c r="C2" s="49" t="s">
        <v>7</v>
      </c>
    </row>
    <row r="3" spans="1:4" x14ac:dyDescent="0.35">
      <c r="A3" s="42">
        <v>1</v>
      </c>
      <c r="B3" s="42" t="s">
        <v>381</v>
      </c>
      <c r="C3" s="42" t="s">
        <v>382</v>
      </c>
    </row>
    <row r="4" spans="1:4" x14ac:dyDescent="0.35">
      <c r="A4" s="42">
        <v>2</v>
      </c>
      <c r="B4" s="42" t="s">
        <v>174</v>
      </c>
      <c r="C4" s="42" t="s">
        <v>383</v>
      </c>
    </row>
    <row r="5" spans="1:4" x14ac:dyDescent="0.35">
      <c r="A5" s="42">
        <v>3</v>
      </c>
      <c r="B5" s="42" t="s">
        <v>175</v>
      </c>
      <c r="C5" s="42" t="s">
        <v>384</v>
      </c>
    </row>
    <row r="9" spans="1:4" x14ac:dyDescent="0.35">
      <c r="A9" s="76" t="s">
        <v>227</v>
      </c>
      <c r="B9" s="77" t="s">
        <v>174</v>
      </c>
      <c r="C9" s="77" t="s">
        <v>7</v>
      </c>
      <c r="D9" s="77" t="s">
        <v>373</v>
      </c>
    </row>
    <row r="10" spans="1:4" x14ac:dyDescent="0.35">
      <c r="A10" s="78">
        <v>1</v>
      </c>
      <c r="B10" s="78" t="s">
        <v>203</v>
      </c>
      <c r="C10" s="78" t="s">
        <v>379</v>
      </c>
      <c r="D10" s="78" t="s">
        <v>374</v>
      </c>
    </row>
    <row r="11" spans="1:4" x14ac:dyDescent="0.35">
      <c r="A11" s="78">
        <v>2</v>
      </c>
      <c r="B11" s="78" t="s">
        <v>212</v>
      </c>
      <c r="C11" s="78" t="s">
        <v>380</v>
      </c>
      <c r="D11" s="78" t="s">
        <v>374</v>
      </c>
    </row>
    <row r="12" spans="1:4" x14ac:dyDescent="0.35">
      <c r="A12" s="78">
        <v>3</v>
      </c>
      <c r="B12" s="78" t="s">
        <v>210</v>
      </c>
      <c r="C12" s="78" t="s">
        <v>375</v>
      </c>
      <c r="D12" s="78" t="s">
        <v>374</v>
      </c>
    </row>
    <row r="13" spans="1:4" x14ac:dyDescent="0.35">
      <c r="A13" s="78">
        <v>4</v>
      </c>
      <c r="B13" s="78" t="s">
        <v>199</v>
      </c>
      <c r="C13" s="78" t="s">
        <v>376</v>
      </c>
      <c r="D13" s="78" t="s">
        <v>374</v>
      </c>
    </row>
    <row r="14" spans="1:4" ht="58" x14ac:dyDescent="0.35">
      <c r="A14" s="78">
        <v>5</v>
      </c>
      <c r="B14" s="78" t="s">
        <v>185</v>
      </c>
      <c r="C14" s="78" t="s">
        <v>377</v>
      </c>
      <c r="D14" s="78" t="s">
        <v>374</v>
      </c>
    </row>
    <row r="15" spans="1:4" ht="29" x14ac:dyDescent="0.35">
      <c r="A15" s="79">
        <v>6</v>
      </c>
      <c r="B15" s="79" t="s">
        <v>603</v>
      </c>
      <c r="C15" s="78" t="s">
        <v>604</v>
      </c>
      <c r="D15" s="78" t="s">
        <v>374</v>
      </c>
    </row>
  </sheetData>
  <sortState xmlns:xlrd2="http://schemas.microsoft.com/office/spreadsheetml/2017/richdata2" ref="E12:E17">
    <sortCondition ref="E12:E1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CF41-BBC9-4CB9-8B3D-F049A4038702}">
  <sheetPr>
    <tabColor rgb="FF92D050"/>
  </sheetPr>
  <dimension ref="A2:O68"/>
  <sheetViews>
    <sheetView zoomScale="70" zoomScaleNormal="70" workbookViewId="0">
      <pane ySplit="4" topLeftCell="A44" activePane="bottomLeft" state="frozen"/>
      <selection pane="bottomLeft" activeCell="B64" sqref="B64"/>
    </sheetView>
  </sheetViews>
  <sheetFormatPr defaultRowHeight="14.5" x14ac:dyDescent="0.35"/>
  <cols>
    <col min="2" max="2" width="29.7265625" customWidth="1"/>
    <col min="3" max="3" width="8.26953125" bestFit="1" customWidth="1"/>
    <col min="4" max="4" width="33.453125" bestFit="1" customWidth="1"/>
    <col min="5" max="5" width="36.54296875" bestFit="1" customWidth="1"/>
    <col min="6" max="6" width="21.26953125" style="69" bestFit="1" customWidth="1"/>
    <col min="12" max="13" width="14.453125" style="69" bestFit="1" customWidth="1"/>
    <col min="14" max="14" width="17.54296875" style="69" bestFit="1" customWidth="1"/>
    <col min="15" max="15" width="27.1796875" style="40" customWidth="1"/>
    <col min="16" max="16" width="12.7265625" bestFit="1" customWidth="1"/>
    <col min="17" max="17" width="12" bestFit="1" customWidth="1"/>
    <col min="18" max="19" width="14.7265625" bestFit="1" customWidth="1"/>
  </cols>
  <sheetData>
    <row r="2" spans="1:15" x14ac:dyDescent="0.35">
      <c r="G2" s="85" t="s">
        <v>413</v>
      </c>
      <c r="H2" s="85"/>
      <c r="I2" s="85"/>
      <c r="J2" s="85"/>
      <c r="K2" s="85"/>
    </row>
    <row r="3" spans="1:15" x14ac:dyDescent="0.35">
      <c r="G3" s="65">
        <v>101</v>
      </c>
      <c r="H3" s="65">
        <v>102</v>
      </c>
      <c r="I3" s="65">
        <v>103</v>
      </c>
      <c r="J3" s="65">
        <v>104</v>
      </c>
      <c r="K3" s="65">
        <v>105</v>
      </c>
      <c r="L3" s="85" t="s">
        <v>440</v>
      </c>
      <c r="M3" s="85"/>
      <c r="N3" s="85"/>
    </row>
    <row r="4" spans="1:15" x14ac:dyDescent="0.35">
      <c r="A4" s="44" t="s">
        <v>227</v>
      </c>
      <c r="B4" s="44" t="s">
        <v>381</v>
      </c>
      <c r="C4" s="45" t="s">
        <v>174</v>
      </c>
      <c r="D4" s="45" t="s">
        <v>175</v>
      </c>
      <c r="E4" s="45" t="s">
        <v>176</v>
      </c>
      <c r="F4" s="44" t="s">
        <v>443</v>
      </c>
      <c r="G4" s="46" t="s">
        <v>177</v>
      </c>
      <c r="H4" s="46" t="s">
        <v>179</v>
      </c>
      <c r="I4" s="46" t="s">
        <v>178</v>
      </c>
      <c r="J4" s="46" t="s">
        <v>180</v>
      </c>
      <c r="K4" s="46" t="s">
        <v>181</v>
      </c>
      <c r="L4" s="70" t="s">
        <v>438</v>
      </c>
      <c r="M4" s="70" t="s">
        <v>439</v>
      </c>
      <c r="N4" s="70" t="s">
        <v>451</v>
      </c>
      <c r="O4" s="83" t="s">
        <v>621</v>
      </c>
    </row>
    <row r="5" spans="1:15" x14ac:dyDescent="0.35">
      <c r="A5" s="41">
        <v>1</v>
      </c>
      <c r="B5" s="43" t="s">
        <v>266</v>
      </c>
      <c r="C5" s="42" t="s">
        <v>210</v>
      </c>
      <c r="D5" s="42" t="str">
        <f>B5 &amp; "-" &amp; C5</f>
        <v>core-edit</v>
      </c>
      <c r="E5" s="42" t="s">
        <v>267</v>
      </c>
      <c r="F5" s="41" t="s">
        <v>454</v>
      </c>
      <c r="G5" s="41">
        <v>3</v>
      </c>
      <c r="H5" s="41">
        <v>3</v>
      </c>
      <c r="I5" s="41">
        <v>3</v>
      </c>
      <c r="J5" s="41">
        <v>3</v>
      </c>
      <c r="K5" s="41">
        <v>3</v>
      </c>
      <c r="L5" s="41">
        <f>COUNTIFS(APIs!F:F,D5)</f>
        <v>2</v>
      </c>
      <c r="M5" s="41">
        <f>COUNTIFS(UI!F:F,D5)</f>
        <v>0</v>
      </c>
      <c r="N5" s="41">
        <f>COUNTIFS(Service!D:D,D5)</f>
        <v>0</v>
      </c>
      <c r="O5" s="84"/>
    </row>
    <row r="6" spans="1:15" x14ac:dyDescent="0.35">
      <c r="A6" s="41">
        <v>2</v>
      </c>
      <c r="B6" s="43" t="s">
        <v>266</v>
      </c>
      <c r="C6" s="42" t="s">
        <v>199</v>
      </c>
      <c r="D6" s="42" t="str">
        <f>B6 &amp; "-" &amp; C6</f>
        <v>core-view</v>
      </c>
      <c r="E6" s="42" t="s">
        <v>267</v>
      </c>
      <c r="F6" s="41" t="s">
        <v>454</v>
      </c>
      <c r="G6" s="41">
        <v>3</v>
      </c>
      <c r="H6" s="41">
        <v>3</v>
      </c>
      <c r="I6" s="41">
        <v>3</v>
      </c>
      <c r="J6" s="41">
        <v>3</v>
      </c>
      <c r="K6" s="41">
        <v>3</v>
      </c>
      <c r="L6" s="41">
        <f>COUNTIFS(APIs!F:F,D6)</f>
        <v>4</v>
      </c>
      <c r="M6" s="41">
        <f>COUNTIFS(UI!F:F,D6)</f>
        <v>2</v>
      </c>
      <c r="N6" s="41">
        <f>COUNTIFS(Service!D:D,D6)</f>
        <v>0</v>
      </c>
      <c r="O6" s="84"/>
    </row>
    <row r="7" spans="1:15" x14ac:dyDescent="0.35">
      <c r="A7" s="41">
        <v>3</v>
      </c>
      <c r="B7" s="43" t="s">
        <v>3</v>
      </c>
      <c r="C7" s="42" t="s">
        <v>203</v>
      </c>
      <c r="D7" s="42" t="str">
        <f>B7 &amp; "-" &amp; C7</f>
        <v>action-create</v>
      </c>
      <c r="E7" s="42" t="s">
        <v>220</v>
      </c>
      <c r="F7" s="41" t="s">
        <v>455</v>
      </c>
      <c r="G7" s="41">
        <v>3</v>
      </c>
      <c r="H7" s="41">
        <v>3</v>
      </c>
      <c r="I7" s="41">
        <v>3</v>
      </c>
      <c r="J7" s="41"/>
      <c r="K7" s="41">
        <v>3</v>
      </c>
      <c r="L7" s="41">
        <f>COUNTIFS(APIs!F:F,D7)</f>
        <v>1</v>
      </c>
      <c r="M7" s="41">
        <f>COUNTIFS(UI!F:F,D7)</f>
        <v>2</v>
      </c>
      <c r="N7" s="41">
        <f>COUNTIFS(Service!D:D,D7)</f>
        <v>1</v>
      </c>
      <c r="O7" s="84"/>
    </row>
    <row r="8" spans="1:15" x14ac:dyDescent="0.35">
      <c r="A8" s="80" t="s">
        <v>594</v>
      </c>
      <c r="B8" s="81" t="s">
        <v>590</v>
      </c>
      <c r="C8" s="82" t="s">
        <v>203</v>
      </c>
      <c r="D8" s="82" t="str">
        <f>B8 &amp; "-" &amp; C8</f>
        <v>maker_action-create</v>
      </c>
      <c r="E8" s="82" t="s">
        <v>592</v>
      </c>
      <c r="F8" s="80" t="s">
        <v>455</v>
      </c>
      <c r="G8" s="80">
        <v>3</v>
      </c>
      <c r="H8" s="80">
        <v>3</v>
      </c>
      <c r="I8" s="80">
        <v>2</v>
      </c>
      <c r="J8" s="80"/>
      <c r="K8" s="80">
        <v>3</v>
      </c>
      <c r="L8" s="41">
        <f>COUNTIFS(APIs!F:F,D8)</f>
        <v>0</v>
      </c>
      <c r="M8" s="41">
        <f>COUNTIFS(UI!F:F,D8)</f>
        <v>0</v>
      </c>
      <c r="N8" s="41">
        <f>COUNTIFS(Service!D:D,D8)</f>
        <v>0</v>
      </c>
      <c r="O8" s="84" t="s">
        <v>615</v>
      </c>
    </row>
    <row r="9" spans="1:15" x14ac:dyDescent="0.35">
      <c r="A9" s="80" t="s">
        <v>595</v>
      </c>
      <c r="B9" s="81" t="s">
        <v>591</v>
      </c>
      <c r="C9" s="82" t="s">
        <v>203</v>
      </c>
      <c r="D9" s="82" t="str">
        <f>B9 &amp; "-" &amp; C9</f>
        <v>checker_action-create</v>
      </c>
      <c r="E9" s="82" t="s">
        <v>593</v>
      </c>
      <c r="F9" s="80" t="s">
        <v>455</v>
      </c>
      <c r="G9" s="80">
        <v>3</v>
      </c>
      <c r="H9" s="80">
        <v>2</v>
      </c>
      <c r="I9" s="80">
        <v>3</v>
      </c>
      <c r="J9" s="80"/>
      <c r="K9" s="80">
        <v>3</v>
      </c>
      <c r="L9" s="41">
        <f>COUNTIFS(APIs!F:F,D9)</f>
        <v>0</v>
      </c>
      <c r="M9" s="41">
        <f>COUNTIFS(UI!F:F,D9)</f>
        <v>0</v>
      </c>
      <c r="N9" s="41">
        <f>COUNTIFS(Service!D:D,D9)</f>
        <v>0</v>
      </c>
      <c r="O9" s="84" t="s">
        <v>615</v>
      </c>
    </row>
    <row r="10" spans="1:15" x14ac:dyDescent="0.35">
      <c r="A10" s="41">
        <v>4</v>
      </c>
      <c r="B10" s="43" t="s">
        <v>3</v>
      </c>
      <c r="C10" s="42" t="s">
        <v>212</v>
      </c>
      <c r="D10" s="42" t="str">
        <f t="shared" ref="D10:D60" si="0">B10 &amp; "-" &amp; C10</f>
        <v>action-delete</v>
      </c>
      <c r="E10" s="42" t="s">
        <v>293</v>
      </c>
      <c r="F10" s="41" t="s">
        <v>444</v>
      </c>
      <c r="G10" s="41">
        <v>3</v>
      </c>
      <c r="H10" s="41"/>
      <c r="I10" s="41">
        <v>3</v>
      </c>
      <c r="J10" s="41"/>
      <c r="K10" s="41"/>
      <c r="L10" s="41">
        <f>COUNTIFS(APIs!F:F,D10)</f>
        <v>1</v>
      </c>
      <c r="M10" s="41">
        <f>COUNTIFS(UI!F:F,D10)</f>
        <v>0</v>
      </c>
      <c r="N10" s="41">
        <f>COUNTIFS(Service!D:D,D10)</f>
        <v>0</v>
      </c>
      <c r="O10" s="84"/>
    </row>
    <row r="11" spans="1:15" x14ac:dyDescent="0.35">
      <c r="A11" s="41">
        <v>5</v>
      </c>
      <c r="B11" s="43" t="s">
        <v>3</v>
      </c>
      <c r="C11" s="42" t="s">
        <v>210</v>
      </c>
      <c r="D11" s="42" t="str">
        <f t="shared" si="0"/>
        <v>action-edit</v>
      </c>
      <c r="E11" s="42" t="s">
        <v>291</v>
      </c>
      <c r="F11" s="41" t="s">
        <v>444</v>
      </c>
      <c r="G11" s="41">
        <v>3</v>
      </c>
      <c r="H11" s="41"/>
      <c r="I11" s="41">
        <v>3</v>
      </c>
      <c r="J11" s="41"/>
      <c r="K11" s="41">
        <v>3</v>
      </c>
      <c r="L11" s="41">
        <f>COUNTIFS(APIs!F:F,D11)</f>
        <v>1</v>
      </c>
      <c r="M11" s="41">
        <f>COUNTIFS(UI!F:F,D11)</f>
        <v>0</v>
      </c>
      <c r="N11" s="41">
        <f>COUNTIFS(Service!D:D,D11)</f>
        <v>0</v>
      </c>
      <c r="O11" s="84"/>
    </row>
    <row r="12" spans="1:15" x14ac:dyDescent="0.35">
      <c r="A12" s="41">
        <v>6</v>
      </c>
      <c r="B12" s="43" t="s">
        <v>3</v>
      </c>
      <c r="C12" s="42" t="s">
        <v>185</v>
      </c>
      <c r="D12" s="42" t="str">
        <f t="shared" si="0"/>
        <v>action-list</v>
      </c>
      <c r="E12" s="42" t="s">
        <v>445</v>
      </c>
      <c r="F12" s="41" t="s">
        <v>444</v>
      </c>
      <c r="G12" s="41">
        <v>3</v>
      </c>
      <c r="H12" s="41">
        <v>3</v>
      </c>
      <c r="I12" s="41">
        <v>3</v>
      </c>
      <c r="J12" s="41">
        <v>3</v>
      </c>
      <c r="K12" s="41">
        <v>3</v>
      </c>
      <c r="L12" s="41">
        <f>COUNTIFS(APIs!F:F,D12)</f>
        <v>1</v>
      </c>
      <c r="M12" s="41">
        <f>COUNTIFS(UI!F:F,D12)</f>
        <v>0</v>
      </c>
      <c r="N12" s="41">
        <f>COUNTIFS(Service!D:D,D12)</f>
        <v>1</v>
      </c>
      <c r="O12" s="84"/>
    </row>
    <row r="13" spans="1:15" x14ac:dyDescent="0.35">
      <c r="A13" s="41">
        <v>7</v>
      </c>
      <c r="B13" s="43" t="s">
        <v>3</v>
      </c>
      <c r="C13" s="42" t="s">
        <v>199</v>
      </c>
      <c r="D13" s="42" t="str">
        <f t="shared" si="0"/>
        <v>action-view</v>
      </c>
      <c r="E13" s="42" t="s">
        <v>461</v>
      </c>
      <c r="F13" s="41" t="s">
        <v>455</v>
      </c>
      <c r="G13" s="41">
        <v>3</v>
      </c>
      <c r="H13" s="41">
        <v>3</v>
      </c>
      <c r="I13" s="41">
        <v>3</v>
      </c>
      <c r="J13" s="41">
        <v>3</v>
      </c>
      <c r="K13" s="41">
        <v>3</v>
      </c>
      <c r="L13" s="41">
        <f>COUNTIFS(APIs!F:F,D13)</f>
        <v>4</v>
      </c>
      <c r="M13" s="41">
        <f>COUNTIFS(UI!F:F,D13)</f>
        <v>2</v>
      </c>
      <c r="N13" s="41">
        <f>COUNTIFS(Service!D:D,D13)</f>
        <v>2</v>
      </c>
      <c r="O13" s="84"/>
    </row>
    <row r="14" spans="1:15" x14ac:dyDescent="0.35">
      <c r="A14" s="41" t="s">
        <v>605</v>
      </c>
      <c r="B14" s="43" t="s">
        <v>611</v>
      </c>
      <c r="C14" s="42" t="s">
        <v>203</v>
      </c>
      <c r="D14" s="42" t="str">
        <f>B14 &amp; "-" &amp; C14</f>
        <v>action_data_entry_completed-create</v>
      </c>
      <c r="E14" s="42" t="s">
        <v>612</v>
      </c>
      <c r="F14" s="41" t="s">
        <v>455</v>
      </c>
      <c r="G14" s="41">
        <v>3</v>
      </c>
      <c r="H14" s="41">
        <v>3</v>
      </c>
      <c r="I14" s="41">
        <v>1</v>
      </c>
      <c r="J14" s="41"/>
      <c r="K14" s="41"/>
      <c r="L14" s="41">
        <f>COUNTIFS(APIs!F:F,D14)</f>
        <v>1</v>
      </c>
      <c r="M14" s="41">
        <f>COUNTIFS(UI!F:F,D14)</f>
        <v>1</v>
      </c>
      <c r="N14" s="41">
        <f>COUNTIFS(Service!D:D,D14)</f>
        <v>0</v>
      </c>
      <c r="O14" s="84" t="s">
        <v>614</v>
      </c>
    </row>
    <row r="15" spans="1:15" x14ac:dyDescent="0.35">
      <c r="A15" s="41" t="s">
        <v>606</v>
      </c>
      <c r="B15" s="43" t="s">
        <v>608</v>
      </c>
      <c r="C15" s="42" t="s">
        <v>203</v>
      </c>
      <c r="D15" s="42" t="str">
        <f t="shared" si="0"/>
        <v>action_data_entry_approved-create</v>
      </c>
      <c r="E15" s="42" t="s">
        <v>609</v>
      </c>
      <c r="F15" s="41" t="s">
        <v>455</v>
      </c>
      <c r="G15" s="41">
        <v>3</v>
      </c>
      <c r="H15" s="41">
        <v>1</v>
      </c>
      <c r="I15" s="41">
        <v>3</v>
      </c>
      <c r="J15" s="41"/>
      <c r="K15" s="41"/>
      <c r="L15" s="41">
        <f>COUNTIFS(APIs!F:F,D15)</f>
        <v>1</v>
      </c>
      <c r="M15" s="41">
        <f>COUNTIFS(UI!F:F,D15)</f>
        <v>1</v>
      </c>
      <c r="N15" s="41">
        <f>COUNTIFS(Service!D:D,D15)</f>
        <v>0</v>
      </c>
      <c r="O15" s="84" t="s">
        <v>614</v>
      </c>
    </row>
    <row r="16" spans="1:15" x14ac:dyDescent="0.35">
      <c r="A16" s="41" t="s">
        <v>607</v>
      </c>
      <c r="B16" s="43" t="s">
        <v>610</v>
      </c>
      <c r="C16" s="42" t="s">
        <v>203</v>
      </c>
      <c r="D16" s="42" t="str">
        <f t="shared" si="0"/>
        <v>action_data_entry_rejected-create</v>
      </c>
      <c r="E16" s="42" t="s">
        <v>613</v>
      </c>
      <c r="F16" s="41" t="s">
        <v>455</v>
      </c>
      <c r="G16" s="41">
        <v>3</v>
      </c>
      <c r="H16" s="41">
        <v>1</v>
      </c>
      <c r="I16" s="41">
        <v>3</v>
      </c>
      <c r="J16" s="41"/>
      <c r="K16" s="41"/>
      <c r="L16" s="41">
        <f>COUNTIFS(APIs!F:F,D16)</f>
        <v>1</v>
      </c>
      <c r="M16" s="41">
        <f>COUNTIFS(UI!F:F,D16)</f>
        <v>1</v>
      </c>
      <c r="N16" s="41">
        <f>COUNTIFS(Service!D:D,D16)</f>
        <v>0</v>
      </c>
      <c r="O16" s="84" t="s">
        <v>614</v>
      </c>
    </row>
    <row r="17" spans="1:15" x14ac:dyDescent="0.35">
      <c r="A17" s="41">
        <v>8</v>
      </c>
      <c r="B17" s="43" t="s">
        <v>14</v>
      </c>
      <c r="C17" s="42" t="s">
        <v>203</v>
      </c>
      <c r="D17" s="42" t="str">
        <f t="shared" si="0"/>
        <v>attachment-create</v>
      </c>
      <c r="E17" s="42" t="s">
        <v>317</v>
      </c>
      <c r="F17" s="41" t="s">
        <v>444</v>
      </c>
      <c r="G17" s="41">
        <v>3</v>
      </c>
      <c r="H17" s="41"/>
      <c r="I17" s="41">
        <v>3</v>
      </c>
      <c r="J17" s="41"/>
      <c r="K17" s="41">
        <v>3</v>
      </c>
      <c r="L17" s="41">
        <f>COUNTIFS(APIs!F:F,D17)</f>
        <v>3</v>
      </c>
      <c r="M17" s="41">
        <f>COUNTIFS(UI!F:F,D17)</f>
        <v>0</v>
      </c>
      <c r="N17" s="41">
        <f>COUNTIFS(Service!D:D,D17)</f>
        <v>0</v>
      </c>
      <c r="O17" s="84"/>
    </row>
    <row r="18" spans="1:15" x14ac:dyDescent="0.35">
      <c r="A18" s="41">
        <v>9</v>
      </c>
      <c r="B18" s="43" t="s">
        <v>14</v>
      </c>
      <c r="C18" s="42" t="s">
        <v>199</v>
      </c>
      <c r="D18" s="42" t="str">
        <f t="shared" si="0"/>
        <v>attachment-view</v>
      </c>
      <c r="E18" s="42" t="s">
        <v>457</v>
      </c>
      <c r="F18" s="41" t="s">
        <v>455</v>
      </c>
      <c r="G18" s="41">
        <v>3</v>
      </c>
      <c r="H18" s="41">
        <v>3</v>
      </c>
      <c r="I18" s="41">
        <v>3</v>
      </c>
      <c r="J18" s="41">
        <v>3</v>
      </c>
      <c r="K18" s="41"/>
      <c r="L18" s="41">
        <f>COUNTIFS(APIs!F:F,D18)</f>
        <v>2</v>
      </c>
      <c r="M18" s="41">
        <f>COUNTIFS(UI!F:F,D18)</f>
        <v>2</v>
      </c>
      <c r="N18" s="41">
        <f>COUNTIFS(Service!D:D,D18)</f>
        <v>2</v>
      </c>
      <c r="O18" s="84"/>
    </row>
    <row r="19" spans="1:15" x14ac:dyDescent="0.35">
      <c r="A19" s="41">
        <v>10</v>
      </c>
      <c r="B19" s="43" t="s">
        <v>18</v>
      </c>
      <c r="C19" s="42" t="s">
        <v>203</v>
      </c>
      <c r="D19" s="42" t="str">
        <f t="shared" si="0"/>
        <v>attribute-create</v>
      </c>
      <c r="E19" s="42" t="s">
        <v>458</v>
      </c>
      <c r="F19" s="41" t="s">
        <v>455</v>
      </c>
      <c r="G19" s="41">
        <v>3</v>
      </c>
      <c r="H19" s="41">
        <v>3</v>
      </c>
      <c r="I19" s="41">
        <v>3</v>
      </c>
      <c r="J19" s="41"/>
      <c r="K19" s="41">
        <v>3</v>
      </c>
      <c r="L19" s="41">
        <f>COUNTIFS(APIs!F:F,D19)</f>
        <v>3</v>
      </c>
      <c r="M19" s="41">
        <f>COUNTIFS(UI!F:F,D19)</f>
        <v>2</v>
      </c>
      <c r="N19" s="41">
        <f>COUNTIFS(Service!D:D,D19)</f>
        <v>1</v>
      </c>
      <c r="O19" s="84"/>
    </row>
    <row r="20" spans="1:15" x14ac:dyDescent="0.35">
      <c r="A20" s="41" t="s">
        <v>518</v>
      </c>
      <c r="B20" s="43" t="s">
        <v>519</v>
      </c>
      <c r="C20" s="42" t="s">
        <v>203</v>
      </c>
      <c r="D20" s="42" t="str">
        <f>B20 &amp; "-" &amp; C20</f>
        <v>attribute_annotation-create</v>
      </c>
      <c r="E20" s="42" t="s">
        <v>520</v>
      </c>
      <c r="F20" s="41" t="s">
        <v>455</v>
      </c>
      <c r="G20" s="41">
        <v>3</v>
      </c>
      <c r="H20" s="41">
        <v>3</v>
      </c>
      <c r="I20" s="41">
        <v>3</v>
      </c>
      <c r="J20" s="41"/>
      <c r="K20" s="41">
        <v>3</v>
      </c>
      <c r="L20" s="41">
        <f>COUNTIFS(APIs!F:F,D20)</f>
        <v>0</v>
      </c>
      <c r="M20" s="41">
        <f>COUNTIFS(UI!F:F,D20)</f>
        <v>1</v>
      </c>
      <c r="N20" s="41">
        <f>COUNTIFS(Service!D:D,D20)</f>
        <v>1</v>
      </c>
      <c r="O20" s="84"/>
    </row>
    <row r="21" spans="1:15" x14ac:dyDescent="0.35">
      <c r="A21" s="41">
        <v>11</v>
      </c>
      <c r="B21" s="43" t="s">
        <v>18</v>
      </c>
      <c r="C21" s="42" t="s">
        <v>212</v>
      </c>
      <c r="D21" s="42" t="str">
        <f t="shared" si="0"/>
        <v>attribute-delete</v>
      </c>
      <c r="E21" s="42" t="s">
        <v>459</v>
      </c>
      <c r="F21" s="41" t="s">
        <v>455</v>
      </c>
      <c r="G21" s="41">
        <v>3</v>
      </c>
      <c r="H21" s="41">
        <v>3</v>
      </c>
      <c r="I21" s="41">
        <v>3</v>
      </c>
      <c r="J21" s="41"/>
      <c r="K21" s="41"/>
      <c r="L21" s="41">
        <f>COUNTIFS(APIs!F:F,D21)</f>
        <v>2</v>
      </c>
      <c r="M21" s="41">
        <f>COUNTIFS(UI!F:F,D21)</f>
        <v>1</v>
      </c>
      <c r="N21" s="41">
        <f>COUNTIFS(Service!D:D,D21)</f>
        <v>0</v>
      </c>
      <c r="O21" s="84"/>
    </row>
    <row r="22" spans="1:15" x14ac:dyDescent="0.35">
      <c r="A22" s="41" t="s">
        <v>517</v>
      </c>
      <c r="B22" s="43" t="s">
        <v>519</v>
      </c>
      <c r="C22" s="42" t="s">
        <v>212</v>
      </c>
      <c r="D22" s="42" t="str">
        <f>B22 &amp; "-" &amp; C22</f>
        <v>attribute_annotation-delete</v>
      </c>
      <c r="E22" s="42" t="s">
        <v>521</v>
      </c>
      <c r="F22" s="41" t="s">
        <v>455</v>
      </c>
      <c r="G22" s="41">
        <v>3</v>
      </c>
      <c r="H22" s="41">
        <v>3</v>
      </c>
      <c r="I22" s="41">
        <v>3</v>
      </c>
      <c r="J22" s="41"/>
      <c r="K22" s="41"/>
      <c r="L22" s="41">
        <f>COUNTIFS(APIs!F:F,D22)</f>
        <v>0</v>
      </c>
      <c r="M22" s="41">
        <f>COUNTIFS(UI!F:F,D22)</f>
        <v>1</v>
      </c>
      <c r="N22" s="41">
        <f>COUNTIFS(Service!D:D,D22)</f>
        <v>1</v>
      </c>
      <c r="O22" s="84"/>
    </row>
    <row r="23" spans="1:15" x14ac:dyDescent="0.35">
      <c r="A23" s="41">
        <v>12</v>
      </c>
      <c r="B23" s="43" t="s">
        <v>18</v>
      </c>
      <c r="C23" s="42" t="s">
        <v>210</v>
      </c>
      <c r="D23" s="42" t="str">
        <f t="shared" si="0"/>
        <v>attribute-edit</v>
      </c>
      <c r="E23" s="42" t="s">
        <v>460</v>
      </c>
      <c r="F23" s="41" t="s">
        <v>455</v>
      </c>
      <c r="G23" s="41">
        <v>3</v>
      </c>
      <c r="H23" s="41">
        <v>3</v>
      </c>
      <c r="I23" s="41">
        <v>3</v>
      </c>
      <c r="J23" s="41"/>
      <c r="K23" s="41"/>
      <c r="L23" s="41">
        <f>COUNTIFS(APIs!F:F,D23)</f>
        <v>2</v>
      </c>
      <c r="M23" s="41">
        <f>COUNTIFS(UI!F:F,D23)</f>
        <v>1</v>
      </c>
      <c r="N23" s="41">
        <f>COUNTIFS(Service!D:D,D23)</f>
        <v>0</v>
      </c>
      <c r="O23" s="84"/>
    </row>
    <row r="24" spans="1:15" x14ac:dyDescent="0.35">
      <c r="A24" s="41">
        <v>13</v>
      </c>
      <c r="B24" s="43" t="s">
        <v>18</v>
      </c>
      <c r="C24" s="42" t="s">
        <v>185</v>
      </c>
      <c r="D24" s="42" t="str">
        <f t="shared" si="0"/>
        <v>attribute-list</v>
      </c>
      <c r="E24" s="42" t="s">
        <v>304</v>
      </c>
      <c r="F24" s="41" t="s">
        <v>444</v>
      </c>
      <c r="G24" s="41">
        <v>3</v>
      </c>
      <c r="H24" s="41"/>
      <c r="I24" s="41">
        <v>3</v>
      </c>
      <c r="J24" s="41"/>
      <c r="K24" s="41"/>
      <c r="L24" s="41">
        <f>COUNTIFS(APIs!F:F,D24)</f>
        <v>1</v>
      </c>
      <c r="M24" s="41">
        <f>COUNTIFS(UI!F:F,D24)</f>
        <v>0</v>
      </c>
      <c r="N24" s="41">
        <f>COUNTIFS(Service!D:D,D24)</f>
        <v>0</v>
      </c>
      <c r="O24" s="84"/>
    </row>
    <row r="25" spans="1:15" x14ac:dyDescent="0.35">
      <c r="A25" s="41">
        <v>14</v>
      </c>
      <c r="B25" s="43" t="s">
        <v>18</v>
      </c>
      <c r="C25" s="42" t="s">
        <v>199</v>
      </c>
      <c r="D25" s="42" t="str">
        <f t="shared" si="0"/>
        <v>attribute-view</v>
      </c>
      <c r="E25" s="42" t="s">
        <v>456</v>
      </c>
      <c r="F25" s="41" t="s">
        <v>455</v>
      </c>
      <c r="G25" s="41">
        <v>3</v>
      </c>
      <c r="H25" s="41">
        <v>3</v>
      </c>
      <c r="I25" s="41">
        <v>3</v>
      </c>
      <c r="J25" s="41">
        <v>3</v>
      </c>
      <c r="K25" s="41">
        <v>3</v>
      </c>
      <c r="L25" s="41">
        <f>COUNTIFS(APIs!F:F,D25)</f>
        <v>8</v>
      </c>
      <c r="M25" s="41">
        <f>COUNTIFS(UI!F:F,D25)</f>
        <v>1</v>
      </c>
      <c r="N25" s="41">
        <f>COUNTIFS(Service!D:D,D25)</f>
        <v>1</v>
      </c>
      <c r="O25" s="84"/>
    </row>
    <row r="26" spans="1:15" x14ac:dyDescent="0.35">
      <c r="A26" s="41" t="s">
        <v>511</v>
      </c>
      <c r="B26" s="43" t="s">
        <v>519</v>
      </c>
      <c r="C26" s="42" t="s">
        <v>199</v>
      </c>
      <c r="D26" s="42" t="str">
        <f>B26 &amp; "-" &amp; C26</f>
        <v>attribute_annotation-view</v>
      </c>
      <c r="E26" s="42" t="s">
        <v>523</v>
      </c>
      <c r="F26" s="41" t="s">
        <v>455</v>
      </c>
      <c r="G26" s="41">
        <v>3</v>
      </c>
      <c r="H26" s="41">
        <v>3</v>
      </c>
      <c r="I26" s="41">
        <v>3</v>
      </c>
      <c r="J26" s="41">
        <v>3</v>
      </c>
      <c r="K26" s="41">
        <v>3</v>
      </c>
      <c r="L26" s="41">
        <f>COUNTIFS(APIs!F:F,D26)</f>
        <v>0</v>
      </c>
      <c r="M26" s="41">
        <f>COUNTIFS(UI!F:F,D26)</f>
        <v>1</v>
      </c>
      <c r="N26" s="41">
        <f>COUNTIFS(Service!D:D,D26)</f>
        <v>1</v>
      </c>
      <c r="O26" s="84"/>
    </row>
    <row r="27" spans="1:15" x14ac:dyDescent="0.35">
      <c r="A27" s="41" t="s">
        <v>522</v>
      </c>
      <c r="B27" s="43" t="s">
        <v>512</v>
      </c>
      <c r="C27" s="42" t="s">
        <v>199</v>
      </c>
      <c r="D27" s="42" t="str">
        <f>B27 &amp; "-" &amp; C27</f>
        <v>attribute_source-view</v>
      </c>
      <c r="E27" s="42" t="s">
        <v>513</v>
      </c>
      <c r="F27" s="41" t="s">
        <v>455</v>
      </c>
      <c r="G27" s="41">
        <v>3</v>
      </c>
      <c r="H27" s="41">
        <v>3</v>
      </c>
      <c r="I27" s="41">
        <v>3</v>
      </c>
      <c r="J27" s="41">
        <v>3</v>
      </c>
      <c r="K27" s="41">
        <v>3</v>
      </c>
      <c r="L27" s="41">
        <f>COUNTIFS(APIs!F:F,D27)</f>
        <v>0</v>
      </c>
      <c r="M27" s="41">
        <f>COUNTIFS(UI!F:F,D27)</f>
        <v>1</v>
      </c>
      <c r="N27" s="41">
        <f>COUNTIFS(Service!D:D,D27)</f>
        <v>1</v>
      </c>
      <c r="O27" s="84"/>
    </row>
    <row r="28" spans="1:15" x14ac:dyDescent="0.35">
      <c r="A28" s="41" t="s">
        <v>537</v>
      </c>
      <c r="B28" s="43" t="s">
        <v>538</v>
      </c>
      <c r="C28" s="42" t="s">
        <v>199</v>
      </c>
      <c r="D28" s="42" t="str">
        <f>B28 &amp; "-" &amp; C28</f>
        <v>attribute_extractionpath-view</v>
      </c>
      <c r="E28" s="42" t="s">
        <v>539</v>
      </c>
      <c r="F28" s="41" t="s">
        <v>455</v>
      </c>
      <c r="G28" s="41">
        <v>3</v>
      </c>
      <c r="H28" s="41">
        <v>3</v>
      </c>
      <c r="I28" s="41">
        <v>3</v>
      </c>
      <c r="J28" s="41">
        <v>3</v>
      </c>
      <c r="K28" s="41">
        <v>3</v>
      </c>
      <c r="L28" s="41">
        <f>COUNTIFS(APIs!F:F,D28)</f>
        <v>0</v>
      </c>
      <c r="M28" s="41">
        <f>COUNTIFS(UI!F:F,D28)</f>
        <v>2</v>
      </c>
      <c r="N28" s="41">
        <f>COUNTIFS(Service!D:D,D28)</f>
        <v>1</v>
      </c>
      <c r="O28" s="84"/>
    </row>
    <row r="29" spans="1:15" x14ac:dyDescent="0.35">
      <c r="A29" s="41">
        <v>15</v>
      </c>
      <c r="B29" s="43" t="s">
        <v>425</v>
      </c>
      <c r="C29" s="42" t="s">
        <v>203</v>
      </c>
      <c r="D29" s="52" t="str">
        <f t="shared" si="0"/>
        <v>audit_case-create</v>
      </c>
      <c r="E29" s="42" t="s">
        <v>464</v>
      </c>
      <c r="F29" s="41" t="s">
        <v>444</v>
      </c>
      <c r="G29" s="41">
        <v>3</v>
      </c>
      <c r="H29" s="41"/>
      <c r="I29" s="41"/>
      <c r="J29" s="41"/>
      <c r="K29" s="41">
        <v>3</v>
      </c>
      <c r="L29" s="41">
        <f>COUNTIFS(APIs!F:F,D29)</f>
        <v>1</v>
      </c>
      <c r="M29" s="41">
        <f>COUNTIFS(UI!F:F,D29)</f>
        <v>0</v>
      </c>
      <c r="N29" s="41">
        <f>COUNTIFS(Service!D:D,D29)</f>
        <v>0</v>
      </c>
      <c r="O29" s="84"/>
    </row>
    <row r="30" spans="1:15" x14ac:dyDescent="0.35">
      <c r="A30" s="41">
        <v>16</v>
      </c>
      <c r="B30" s="43" t="s">
        <v>425</v>
      </c>
      <c r="C30" s="42" t="s">
        <v>199</v>
      </c>
      <c r="D30" s="52" t="str">
        <f t="shared" si="0"/>
        <v>audit_case-view</v>
      </c>
      <c r="E30" s="42" t="s">
        <v>201</v>
      </c>
      <c r="F30" s="41" t="s">
        <v>455</v>
      </c>
      <c r="G30" s="41">
        <v>3</v>
      </c>
      <c r="H30" s="41">
        <v>3</v>
      </c>
      <c r="I30" s="41">
        <v>3</v>
      </c>
      <c r="J30" s="41">
        <v>3</v>
      </c>
      <c r="K30" s="41"/>
      <c r="L30" s="41">
        <f>COUNTIFS(APIs!F:F,D30)</f>
        <v>2</v>
      </c>
      <c r="M30" s="41">
        <f>COUNTIFS(UI!F:F,D30)</f>
        <v>1</v>
      </c>
      <c r="N30" s="41">
        <f>COUNTIFS(Service!D:D,D30)</f>
        <v>0</v>
      </c>
      <c r="O30" s="84"/>
    </row>
    <row r="31" spans="1:15" x14ac:dyDescent="0.35">
      <c r="A31" s="41" t="s">
        <v>478</v>
      </c>
      <c r="B31" s="43" t="s">
        <v>479</v>
      </c>
      <c r="C31" s="42" t="s">
        <v>199</v>
      </c>
      <c r="D31" s="52" t="str">
        <f t="shared" si="0"/>
        <v>audit_rbac-view</v>
      </c>
      <c r="E31" s="42" t="s">
        <v>480</v>
      </c>
      <c r="F31" s="41" t="s">
        <v>455</v>
      </c>
      <c r="G31" s="41">
        <v>3</v>
      </c>
      <c r="H31" s="41"/>
      <c r="I31" s="41">
        <v>3</v>
      </c>
      <c r="J31" s="41"/>
      <c r="K31" s="41"/>
      <c r="L31" s="41">
        <f>COUNTIFS(APIs!F:F,D31)</f>
        <v>1</v>
      </c>
      <c r="M31" s="41">
        <f>COUNTIFS(UI!F:F,D31)</f>
        <v>1</v>
      </c>
      <c r="N31" s="41">
        <f>COUNTIFS(Service!D:D,D31)</f>
        <v>0</v>
      </c>
      <c r="O31" s="84"/>
    </row>
    <row r="32" spans="1:15" x14ac:dyDescent="0.35">
      <c r="A32" s="41">
        <v>17</v>
      </c>
      <c r="B32" s="43" t="s">
        <v>426</v>
      </c>
      <c r="C32" s="42" t="s">
        <v>199</v>
      </c>
      <c r="D32" s="52" t="str">
        <f t="shared" si="0"/>
        <v>audit_user-view</v>
      </c>
      <c r="E32" s="42" t="s">
        <v>300</v>
      </c>
      <c r="F32" s="41" t="s">
        <v>455</v>
      </c>
      <c r="G32" s="41">
        <v>3</v>
      </c>
      <c r="H32" s="41"/>
      <c r="I32" s="41"/>
      <c r="J32" s="41"/>
      <c r="K32" s="41"/>
      <c r="L32" s="41">
        <f>COUNTIFS(APIs!F:F,D32)</f>
        <v>1</v>
      </c>
      <c r="M32" s="41">
        <f>COUNTIFS(UI!F:F,D32)</f>
        <v>1</v>
      </c>
      <c r="N32" s="41">
        <f>COUNTIFS(Service!D:D,D32)</f>
        <v>0</v>
      </c>
      <c r="O32" s="84"/>
    </row>
    <row r="33" spans="1:15" x14ac:dyDescent="0.35">
      <c r="A33" s="41">
        <v>18</v>
      </c>
      <c r="B33" s="43" t="s">
        <v>424</v>
      </c>
      <c r="C33" s="42" t="s">
        <v>210</v>
      </c>
      <c r="D33" s="52" t="str">
        <f t="shared" si="0"/>
        <v>close_case-edit</v>
      </c>
      <c r="E33" s="42" t="s">
        <v>198</v>
      </c>
      <c r="F33" s="41" t="s">
        <v>455</v>
      </c>
      <c r="G33" s="41">
        <v>3</v>
      </c>
      <c r="H33" s="41"/>
      <c r="I33" s="41">
        <v>3</v>
      </c>
      <c r="J33" s="41"/>
      <c r="K33" s="41">
        <v>3</v>
      </c>
      <c r="L33" s="41">
        <f>COUNTIFS(APIs!F:F,D33)</f>
        <v>1</v>
      </c>
      <c r="M33" s="41">
        <f>COUNTIFS(UI!F:F,D33)</f>
        <v>2</v>
      </c>
      <c r="N33" s="41">
        <f>COUNTIFS(Service!D:D,D33)</f>
        <v>1</v>
      </c>
      <c r="O33" s="84"/>
    </row>
    <row r="34" spans="1:15" x14ac:dyDescent="0.35">
      <c r="A34" s="41">
        <v>19</v>
      </c>
      <c r="B34" s="43" t="s">
        <v>191</v>
      </c>
      <c r="C34" s="42" t="s">
        <v>203</v>
      </c>
      <c r="D34" s="42" t="str">
        <f t="shared" si="0"/>
        <v>case-create</v>
      </c>
      <c r="E34" s="42" t="s">
        <v>306</v>
      </c>
      <c r="F34" s="41" t="s">
        <v>444</v>
      </c>
      <c r="G34" s="41">
        <v>3</v>
      </c>
      <c r="H34" s="41"/>
      <c r="I34" s="41"/>
      <c r="J34" s="41"/>
      <c r="K34" s="41">
        <v>3</v>
      </c>
      <c r="L34" s="41">
        <f>COUNTIFS(APIs!F:F,D34)</f>
        <v>1</v>
      </c>
      <c r="M34" s="41">
        <f>COUNTIFS(UI!F:F,D34)</f>
        <v>0</v>
      </c>
      <c r="N34" s="41">
        <f>COUNTIFS(Service!D:D,D34)</f>
        <v>0</v>
      </c>
      <c r="O34" s="84"/>
    </row>
    <row r="35" spans="1:15" x14ac:dyDescent="0.35">
      <c r="A35" s="41">
        <v>20</v>
      </c>
      <c r="B35" s="43" t="s">
        <v>191</v>
      </c>
      <c r="C35" s="42" t="s">
        <v>212</v>
      </c>
      <c r="D35" s="42" t="str">
        <f t="shared" si="0"/>
        <v>case-delete</v>
      </c>
      <c r="E35" s="42" t="s">
        <v>308</v>
      </c>
      <c r="F35" s="41" t="s">
        <v>444</v>
      </c>
      <c r="G35" s="41">
        <v>3</v>
      </c>
      <c r="H35" s="41"/>
      <c r="I35" s="41">
        <v>3</v>
      </c>
      <c r="J35" s="41"/>
      <c r="K35" s="41"/>
      <c r="L35" s="41">
        <f>COUNTIFS(APIs!F:F,D35)</f>
        <v>1</v>
      </c>
      <c r="M35" s="41">
        <f>COUNTIFS(UI!F:F,D35)</f>
        <v>0</v>
      </c>
      <c r="N35" s="41">
        <f>COUNTIFS(Service!D:D,D35)</f>
        <v>0</v>
      </c>
      <c r="O35" s="84"/>
    </row>
    <row r="36" spans="1:15" x14ac:dyDescent="0.35">
      <c r="A36" s="41">
        <v>21</v>
      </c>
      <c r="B36" s="43" t="s">
        <v>191</v>
      </c>
      <c r="C36" s="42" t="s">
        <v>210</v>
      </c>
      <c r="D36" s="42" t="str">
        <f t="shared" si="0"/>
        <v>case-edit</v>
      </c>
      <c r="E36" s="42" t="s">
        <v>310</v>
      </c>
      <c r="F36" s="41" t="s">
        <v>444</v>
      </c>
      <c r="G36" s="41">
        <v>3</v>
      </c>
      <c r="H36" s="41">
        <v>3</v>
      </c>
      <c r="I36" s="41"/>
      <c r="J36" s="41"/>
      <c r="K36" s="41">
        <v>3</v>
      </c>
      <c r="L36" s="41">
        <f>COUNTIFS(APIs!F:F,D36)</f>
        <v>2</v>
      </c>
      <c r="M36" s="41">
        <f>COUNTIFS(UI!F:F,D36)</f>
        <v>0</v>
      </c>
      <c r="N36" s="41">
        <f>COUNTIFS(Service!D:D,D36)</f>
        <v>1</v>
      </c>
      <c r="O36" s="84"/>
    </row>
    <row r="37" spans="1:15" x14ac:dyDescent="0.35">
      <c r="A37" s="41">
        <v>22</v>
      </c>
      <c r="B37" s="43" t="s">
        <v>191</v>
      </c>
      <c r="C37" s="42" t="s">
        <v>185</v>
      </c>
      <c r="D37" s="42" t="str">
        <f t="shared" si="0"/>
        <v>case-list</v>
      </c>
      <c r="E37" s="42" t="s">
        <v>192</v>
      </c>
      <c r="F37" s="41" t="s">
        <v>455</v>
      </c>
      <c r="G37" s="41">
        <v>3</v>
      </c>
      <c r="H37" s="41">
        <v>3</v>
      </c>
      <c r="I37" s="41">
        <v>3</v>
      </c>
      <c r="J37" s="41">
        <v>3</v>
      </c>
      <c r="K37" s="41">
        <v>3</v>
      </c>
      <c r="L37" s="41">
        <f>COUNTIFS(APIs!F:F,D37)</f>
        <v>1</v>
      </c>
      <c r="M37" s="41">
        <f>COUNTIFS(UI!F:F,D37)</f>
        <v>1</v>
      </c>
      <c r="N37" s="41">
        <f>COUNTIFS(Service!D:D,D37)</f>
        <v>1</v>
      </c>
      <c r="O37" s="84"/>
    </row>
    <row r="38" spans="1:15" x14ac:dyDescent="0.35">
      <c r="A38" s="41">
        <v>23</v>
      </c>
      <c r="B38" s="43" t="s">
        <v>378</v>
      </c>
      <c r="C38" s="42" t="s">
        <v>203</v>
      </c>
      <c r="D38" s="52" t="str">
        <f>B38 &amp; "-" &amp; C38</f>
        <v>case-user-create</v>
      </c>
      <c r="E38" s="42" t="s">
        <v>463</v>
      </c>
      <c r="F38" s="41" t="s">
        <v>455</v>
      </c>
      <c r="G38" s="41">
        <v>3</v>
      </c>
      <c r="H38" s="41">
        <v>3</v>
      </c>
      <c r="I38" s="41">
        <v>3</v>
      </c>
      <c r="J38" s="41"/>
      <c r="K38" s="41">
        <v>3</v>
      </c>
      <c r="L38" s="41">
        <f>COUNTIFS(APIs!F:F,D38)</f>
        <v>1</v>
      </c>
      <c r="M38" s="41">
        <f>COUNTIFS(UI!F:F,D38)</f>
        <v>2</v>
      </c>
      <c r="N38" s="41">
        <f>COUNTIFS(Service!D:D,D38)</f>
        <v>1</v>
      </c>
      <c r="O38" s="84"/>
    </row>
    <row r="39" spans="1:15" x14ac:dyDescent="0.35">
      <c r="A39" s="41">
        <v>24</v>
      </c>
      <c r="B39" s="43" t="s">
        <v>378</v>
      </c>
      <c r="C39" s="42" t="s">
        <v>210</v>
      </c>
      <c r="D39" s="52" t="str">
        <f t="shared" si="0"/>
        <v>case-user-edit</v>
      </c>
      <c r="E39" s="42" t="s">
        <v>462</v>
      </c>
      <c r="F39" s="41" t="s">
        <v>455</v>
      </c>
      <c r="G39" s="41">
        <v>3</v>
      </c>
      <c r="H39" s="41">
        <v>3</v>
      </c>
      <c r="I39" s="41">
        <v>3</v>
      </c>
      <c r="J39" s="41"/>
      <c r="K39" s="41">
        <v>3</v>
      </c>
      <c r="L39" s="41">
        <f>COUNTIFS(APIs!F:F,D39)</f>
        <v>2</v>
      </c>
      <c r="M39" s="41">
        <f>COUNTIFS(UI!F:F,D39)</f>
        <v>2</v>
      </c>
      <c r="N39" s="41">
        <f>COUNTIFS(Service!D:D,D39)</f>
        <v>0</v>
      </c>
      <c r="O39" s="84"/>
    </row>
    <row r="40" spans="1:15" x14ac:dyDescent="0.35">
      <c r="A40" s="41" t="s">
        <v>620</v>
      </c>
      <c r="B40" s="43" t="s">
        <v>378</v>
      </c>
      <c r="C40" s="42" t="s">
        <v>603</v>
      </c>
      <c r="D40" s="48" t="str">
        <f>B40 &amp; "-" &amp; C40</f>
        <v>case-user-allow</v>
      </c>
      <c r="E40" s="48" t="s">
        <v>622</v>
      </c>
      <c r="F40" s="41" t="s">
        <v>455</v>
      </c>
      <c r="G40" s="41">
        <v>3</v>
      </c>
      <c r="H40" s="41">
        <v>3</v>
      </c>
      <c r="I40" s="41">
        <v>3</v>
      </c>
      <c r="J40" s="41"/>
      <c r="K40" s="41"/>
      <c r="L40" s="41">
        <f>COUNTIFS(APIs!F:F,D40)</f>
        <v>0</v>
      </c>
      <c r="M40" s="41">
        <f>COUNTIFS(UI!F:F,D40)</f>
        <v>0</v>
      </c>
      <c r="N40" s="41">
        <f>COUNTIFS(Service!D:D,D40)</f>
        <v>0</v>
      </c>
      <c r="O40" s="84" t="s">
        <v>614</v>
      </c>
    </row>
    <row r="41" spans="1:15" x14ac:dyDescent="0.35">
      <c r="A41" s="41">
        <v>25</v>
      </c>
      <c r="B41" s="43" t="s">
        <v>427</v>
      </c>
      <c r="C41" s="42" t="s">
        <v>203</v>
      </c>
      <c r="D41" s="52" t="str">
        <f t="shared" si="0"/>
        <v>outbound_email-create</v>
      </c>
      <c r="E41" s="42" t="s">
        <v>280</v>
      </c>
      <c r="F41" s="41" t="s">
        <v>455</v>
      </c>
      <c r="G41" s="41">
        <v>3</v>
      </c>
      <c r="H41" s="41">
        <v>3</v>
      </c>
      <c r="I41" s="41">
        <v>3</v>
      </c>
      <c r="J41" s="41"/>
      <c r="K41" s="41">
        <v>3</v>
      </c>
      <c r="L41" s="41">
        <f>COUNTIFS(APIs!F:F,D41)</f>
        <v>2</v>
      </c>
      <c r="M41" s="41">
        <f>COUNTIFS(UI!F:F,D41)</f>
        <v>2</v>
      </c>
      <c r="N41" s="41">
        <f>COUNTIFS(Service!D:D,D41)</f>
        <v>0</v>
      </c>
      <c r="O41" s="84"/>
    </row>
    <row r="42" spans="1:15" x14ac:dyDescent="0.35">
      <c r="A42" s="41">
        <v>26</v>
      </c>
      <c r="B42" s="43" t="s">
        <v>427</v>
      </c>
      <c r="C42" s="42" t="s">
        <v>212</v>
      </c>
      <c r="D42" s="52" t="str">
        <f t="shared" si="0"/>
        <v>outbound_email-delete</v>
      </c>
      <c r="E42" s="42" t="s">
        <v>146</v>
      </c>
      <c r="F42" s="41" t="s">
        <v>444</v>
      </c>
      <c r="G42" s="41">
        <v>3</v>
      </c>
      <c r="H42" s="41"/>
      <c r="I42" s="41">
        <v>3</v>
      </c>
      <c r="J42" s="41"/>
      <c r="K42" s="41"/>
      <c r="L42" s="41">
        <f>COUNTIFS(APIs!F:F,D42)</f>
        <v>1</v>
      </c>
      <c r="M42" s="41">
        <f>COUNTIFS(UI!F:F,D42)</f>
        <v>0</v>
      </c>
      <c r="N42" s="41">
        <f>COUNTIFS(Service!D:D,D42)</f>
        <v>0</v>
      </c>
      <c r="O42" s="84"/>
    </row>
    <row r="43" spans="1:15" x14ac:dyDescent="0.35">
      <c r="A43" s="41">
        <v>27</v>
      </c>
      <c r="B43" s="43" t="s">
        <v>427</v>
      </c>
      <c r="C43" s="42" t="s">
        <v>210</v>
      </c>
      <c r="D43" s="52" t="str">
        <f t="shared" si="0"/>
        <v>outbound_email-edit</v>
      </c>
      <c r="E43" s="42" t="s">
        <v>287</v>
      </c>
      <c r="F43" s="41" t="s">
        <v>444</v>
      </c>
      <c r="G43" s="41">
        <v>3</v>
      </c>
      <c r="H43" s="41">
        <v>3</v>
      </c>
      <c r="I43" s="41">
        <v>3</v>
      </c>
      <c r="J43" s="41"/>
      <c r="K43" s="41">
        <v>3</v>
      </c>
      <c r="L43" s="41">
        <f>COUNTIFS(APIs!F:F,D43)</f>
        <v>1</v>
      </c>
      <c r="M43" s="41">
        <f>COUNTIFS(UI!F:F,D43)</f>
        <v>0</v>
      </c>
      <c r="N43" s="41">
        <f>COUNTIFS(Service!D:D,D43)</f>
        <v>0</v>
      </c>
      <c r="O43" s="84"/>
    </row>
    <row r="44" spans="1:15" x14ac:dyDescent="0.35">
      <c r="A44" s="41">
        <v>28</v>
      </c>
      <c r="B44" s="43" t="s">
        <v>427</v>
      </c>
      <c r="C44" s="42" t="s">
        <v>185</v>
      </c>
      <c r="D44" s="52" t="str">
        <f t="shared" si="0"/>
        <v>outbound_email-list</v>
      </c>
      <c r="E44" s="42" t="s">
        <v>446</v>
      </c>
      <c r="F44" s="41" t="s">
        <v>444</v>
      </c>
      <c r="G44" s="41">
        <v>3</v>
      </c>
      <c r="H44" s="41">
        <v>3</v>
      </c>
      <c r="I44" s="41">
        <v>3</v>
      </c>
      <c r="J44" s="41">
        <v>3</v>
      </c>
      <c r="K44" s="41"/>
      <c r="L44" s="41">
        <f>COUNTIFS(APIs!F:F,D44)</f>
        <v>1</v>
      </c>
      <c r="M44" s="41">
        <f>COUNTIFS(UI!F:F,D44)</f>
        <v>0</v>
      </c>
      <c r="N44" s="41">
        <f>COUNTIFS(Service!D:D,D44)</f>
        <v>1</v>
      </c>
      <c r="O44" s="84"/>
    </row>
    <row r="45" spans="1:15" x14ac:dyDescent="0.35">
      <c r="A45" s="41">
        <v>29</v>
      </c>
      <c r="B45" s="43" t="s">
        <v>427</v>
      </c>
      <c r="C45" s="42" t="s">
        <v>199</v>
      </c>
      <c r="D45" s="52" t="str">
        <f t="shared" si="0"/>
        <v>outbound_email-view</v>
      </c>
      <c r="E45" s="42" t="s">
        <v>279</v>
      </c>
      <c r="F45" s="41" t="s">
        <v>455</v>
      </c>
      <c r="G45" s="41">
        <v>3</v>
      </c>
      <c r="H45" s="41">
        <v>3</v>
      </c>
      <c r="I45" s="41">
        <v>3</v>
      </c>
      <c r="J45" s="41">
        <v>3</v>
      </c>
      <c r="K45" s="41"/>
      <c r="L45" s="41">
        <f>COUNTIFS(APIs!F:F,D45)</f>
        <v>6</v>
      </c>
      <c r="M45" s="41">
        <f>COUNTIFS(UI!F:F,D45)</f>
        <v>2</v>
      </c>
      <c r="N45" s="41">
        <f>COUNTIFS(Service!D:D,D45)</f>
        <v>1</v>
      </c>
      <c r="O45" s="84"/>
    </row>
    <row r="46" spans="1:15" x14ac:dyDescent="0.35">
      <c r="A46" s="41">
        <v>30</v>
      </c>
      <c r="B46" s="43" t="s">
        <v>62</v>
      </c>
      <c r="C46" s="42" t="s">
        <v>185</v>
      </c>
      <c r="D46" s="42" t="str">
        <f t="shared" si="0"/>
        <v>queue-list</v>
      </c>
      <c r="E46" s="42" t="s">
        <v>186</v>
      </c>
      <c r="F46" s="41" t="s">
        <v>455</v>
      </c>
      <c r="G46" s="41">
        <v>3</v>
      </c>
      <c r="H46" s="41">
        <v>3</v>
      </c>
      <c r="I46" s="41">
        <v>3</v>
      </c>
      <c r="J46" s="41">
        <v>3</v>
      </c>
      <c r="K46" s="41">
        <v>3</v>
      </c>
      <c r="L46" s="41">
        <f>COUNTIFS(APIs!F:F,D46)</f>
        <v>2</v>
      </c>
      <c r="M46" s="41">
        <f>COUNTIFS(UI!F:F,D46)</f>
        <v>1</v>
      </c>
      <c r="N46" s="41">
        <f>COUNTIFS(Service!D:D,D46)</f>
        <v>0</v>
      </c>
      <c r="O46" s="84"/>
    </row>
    <row r="47" spans="1:15" x14ac:dyDescent="0.35">
      <c r="A47" s="41" t="s">
        <v>506</v>
      </c>
      <c r="B47" s="43" t="s">
        <v>62</v>
      </c>
      <c r="C47" s="42" t="s">
        <v>203</v>
      </c>
      <c r="D47" s="42" t="str">
        <f t="shared" si="0"/>
        <v>queue-create</v>
      </c>
      <c r="E47" s="42" t="s">
        <v>507</v>
      </c>
      <c r="F47" s="41" t="s">
        <v>444</v>
      </c>
      <c r="G47" s="41">
        <v>3</v>
      </c>
      <c r="H47" s="41"/>
      <c r="I47" s="41"/>
      <c r="J47" s="41"/>
      <c r="K47" s="41">
        <v>3</v>
      </c>
      <c r="L47" s="41">
        <f>COUNTIFS(APIs!F:F,D47)</f>
        <v>1</v>
      </c>
      <c r="M47" s="41">
        <f>COUNTIFS(UI!F:F,D47)</f>
        <v>0</v>
      </c>
      <c r="N47" s="41">
        <f>COUNTIFS(Service!D:D,D47)</f>
        <v>1</v>
      </c>
      <c r="O47" s="84"/>
    </row>
    <row r="48" spans="1:15" x14ac:dyDescent="0.35">
      <c r="A48" s="41" t="s">
        <v>583</v>
      </c>
      <c r="B48" s="43" t="s">
        <v>62</v>
      </c>
      <c r="C48" s="42" t="s">
        <v>210</v>
      </c>
      <c r="D48" s="42" t="str">
        <f t="shared" si="0"/>
        <v>queue-edit</v>
      </c>
      <c r="E48" s="42" t="s">
        <v>582</v>
      </c>
      <c r="F48" s="41" t="s">
        <v>455</v>
      </c>
      <c r="G48" s="41">
        <v>3</v>
      </c>
      <c r="H48" s="41"/>
      <c r="I48" s="41">
        <v>3</v>
      </c>
      <c r="J48" s="41"/>
      <c r="K48" s="41"/>
      <c r="L48" s="41">
        <f>COUNTIFS(APIs!F:F,D48)</f>
        <v>0</v>
      </c>
      <c r="M48" s="41">
        <f>COUNTIFS(UI!F:F,D48)</f>
        <v>0</v>
      </c>
      <c r="N48" s="41">
        <f>COUNTIFS(Service!D:D,D48)</f>
        <v>0</v>
      </c>
      <c r="O48" s="84"/>
    </row>
    <row r="49" spans="1:15" x14ac:dyDescent="0.35">
      <c r="A49" s="41" t="s">
        <v>579</v>
      </c>
      <c r="B49" s="43" t="s">
        <v>577</v>
      </c>
      <c r="C49" s="42" t="s">
        <v>210</v>
      </c>
      <c r="D49" s="42" t="str">
        <f t="shared" si="0"/>
        <v>queue_user-edit</v>
      </c>
      <c r="E49" s="42" t="s">
        <v>578</v>
      </c>
      <c r="F49" s="41" t="s">
        <v>455</v>
      </c>
      <c r="G49" s="41">
        <v>3</v>
      </c>
      <c r="H49" s="41">
        <v>3</v>
      </c>
      <c r="I49" s="41">
        <v>3</v>
      </c>
      <c r="J49" s="41"/>
      <c r="K49" s="41"/>
      <c r="L49" s="41">
        <f>COUNTIFS(APIs!F:F,D49)</f>
        <v>1</v>
      </c>
      <c r="M49" s="41">
        <f>COUNTIFS(UI!F:F,D49)</f>
        <v>0</v>
      </c>
      <c r="N49" s="41">
        <f>COUNTIFS(Service!D:D,D49)</f>
        <v>0</v>
      </c>
      <c r="O49" s="84"/>
    </row>
    <row r="50" spans="1:15" x14ac:dyDescent="0.35">
      <c r="A50" s="41" t="s">
        <v>580</v>
      </c>
      <c r="B50" s="43" t="s">
        <v>577</v>
      </c>
      <c r="C50" s="42" t="s">
        <v>199</v>
      </c>
      <c r="D50" s="42" t="str">
        <f t="shared" si="0"/>
        <v>queue_user-view</v>
      </c>
      <c r="E50" s="42" t="s">
        <v>581</v>
      </c>
      <c r="F50" s="41" t="s">
        <v>455</v>
      </c>
      <c r="G50" s="41">
        <v>3</v>
      </c>
      <c r="H50" s="41">
        <v>3</v>
      </c>
      <c r="I50" s="41">
        <v>3</v>
      </c>
      <c r="J50" s="41"/>
      <c r="K50" s="41"/>
      <c r="L50" s="41">
        <f>COUNTIFS(APIs!F:F,D50)</f>
        <v>1</v>
      </c>
      <c r="M50" s="41">
        <f>COUNTIFS(UI!F:F,D50)</f>
        <v>0</v>
      </c>
      <c r="N50" s="41">
        <f>COUNTIFS(Service!D:D,D50)</f>
        <v>0</v>
      </c>
      <c r="O50" s="84"/>
    </row>
    <row r="51" spans="1:15" x14ac:dyDescent="0.35">
      <c r="A51" s="41" t="s">
        <v>472</v>
      </c>
      <c r="B51" s="43" t="s">
        <v>473</v>
      </c>
      <c r="C51" s="42" t="s">
        <v>199</v>
      </c>
      <c r="D51" s="42" t="str">
        <f t="shared" si="0"/>
        <v>rbac-view</v>
      </c>
      <c r="E51" s="42" t="s">
        <v>476</v>
      </c>
      <c r="F51" s="41" t="s">
        <v>455</v>
      </c>
      <c r="G51" s="41">
        <v>3</v>
      </c>
      <c r="H51" s="41"/>
      <c r="I51" s="41">
        <v>3</v>
      </c>
      <c r="J51" s="41"/>
      <c r="K51" s="41"/>
      <c r="L51" s="41">
        <f>COUNTIFS(APIs!F:F,D51)</f>
        <v>1</v>
      </c>
      <c r="M51" s="41">
        <f>COUNTIFS(UI!F:F,D51)</f>
        <v>1</v>
      </c>
      <c r="N51" s="41">
        <f>COUNTIFS(Service!D:D,D51)</f>
        <v>0</v>
      </c>
      <c r="O51" s="84"/>
    </row>
    <row r="52" spans="1:15" x14ac:dyDescent="0.35">
      <c r="A52" s="41" t="s">
        <v>474</v>
      </c>
      <c r="B52" s="43" t="s">
        <v>473</v>
      </c>
      <c r="C52" s="42" t="s">
        <v>210</v>
      </c>
      <c r="D52" s="42" t="str">
        <f t="shared" si="0"/>
        <v>rbac-edit</v>
      </c>
      <c r="E52" s="42" t="s">
        <v>477</v>
      </c>
      <c r="F52" s="41" t="s">
        <v>455</v>
      </c>
      <c r="G52" s="41">
        <v>3</v>
      </c>
      <c r="H52" s="41"/>
      <c r="I52" s="41"/>
      <c r="J52" s="41"/>
      <c r="K52" s="41"/>
      <c r="L52" s="41">
        <f>COUNTIFS(APIs!F:F,D52)</f>
        <v>1</v>
      </c>
      <c r="M52" s="41">
        <f>COUNTIFS(UI!F:F,D52)</f>
        <v>1</v>
      </c>
      <c r="N52" s="41">
        <f>COUNTIFS(Service!D:D,D52)</f>
        <v>0</v>
      </c>
      <c r="O52" s="84"/>
    </row>
    <row r="53" spans="1:15" x14ac:dyDescent="0.35">
      <c r="A53" s="41">
        <v>31</v>
      </c>
      <c r="B53" s="43" t="s">
        <v>76</v>
      </c>
      <c r="C53" s="42" t="s">
        <v>212</v>
      </c>
      <c r="D53" s="42" t="str">
        <f t="shared" si="0"/>
        <v>user-delete</v>
      </c>
      <c r="E53" s="42" t="s">
        <v>289</v>
      </c>
      <c r="F53" s="41" t="s">
        <v>444</v>
      </c>
      <c r="G53" s="41">
        <v>3</v>
      </c>
      <c r="H53" s="41"/>
      <c r="I53" s="41"/>
      <c r="J53" s="41"/>
      <c r="K53" s="41"/>
      <c r="L53" s="41">
        <f>COUNTIFS(APIs!F:F,D53)</f>
        <v>1</v>
      </c>
      <c r="M53" s="41">
        <f>COUNTIFS(UI!F:F,D53)</f>
        <v>0</v>
      </c>
      <c r="N53" s="41">
        <f>COUNTIFS(Service!D:D,D53)</f>
        <v>0</v>
      </c>
      <c r="O53" s="84"/>
    </row>
    <row r="54" spans="1:15" x14ac:dyDescent="0.35">
      <c r="A54" s="41">
        <v>32</v>
      </c>
      <c r="B54" s="43" t="s">
        <v>76</v>
      </c>
      <c r="C54" s="42" t="s">
        <v>210</v>
      </c>
      <c r="D54" s="42" t="str">
        <f t="shared" si="0"/>
        <v>user-edit</v>
      </c>
      <c r="E54" s="42" t="s">
        <v>271</v>
      </c>
      <c r="F54" s="41" t="s">
        <v>455</v>
      </c>
      <c r="G54" s="41">
        <v>3</v>
      </c>
      <c r="H54" s="41"/>
      <c r="I54" s="41"/>
      <c r="J54" s="41"/>
      <c r="K54" s="41">
        <v>3</v>
      </c>
      <c r="L54" s="41">
        <f>COUNTIFS(APIs!F:F,D54)</f>
        <v>4</v>
      </c>
      <c r="M54" s="41">
        <f>COUNTIFS(UI!F:F,D54)</f>
        <v>4</v>
      </c>
      <c r="N54" s="41">
        <f>COUNTIFS(Service!D:D,D54)</f>
        <v>0</v>
      </c>
      <c r="O54" s="84"/>
    </row>
    <row r="55" spans="1:15" x14ac:dyDescent="0.35">
      <c r="A55" s="41">
        <v>33</v>
      </c>
      <c r="B55" s="43" t="s">
        <v>76</v>
      </c>
      <c r="C55" s="42" t="s">
        <v>199</v>
      </c>
      <c r="D55" s="42" t="str">
        <f t="shared" si="0"/>
        <v>user-view</v>
      </c>
      <c r="E55" s="42" t="s">
        <v>270</v>
      </c>
      <c r="F55" s="41" t="s">
        <v>454</v>
      </c>
      <c r="G55" s="41">
        <v>3</v>
      </c>
      <c r="H55" s="41"/>
      <c r="I55" s="41"/>
      <c r="J55" s="41"/>
      <c r="K55" s="41"/>
      <c r="L55" s="41">
        <f>COUNTIFS(APIs!F:F,D55)</f>
        <v>1</v>
      </c>
      <c r="M55" s="41">
        <f>COUNTIFS(UI!F:F,D55)</f>
        <v>0</v>
      </c>
      <c r="N55" s="41">
        <f>COUNTIFS(Service!D:D,D55)</f>
        <v>0</v>
      </c>
      <c r="O55" s="84"/>
    </row>
    <row r="56" spans="1:15" x14ac:dyDescent="0.35">
      <c r="A56" s="41">
        <v>34</v>
      </c>
      <c r="B56" s="43" t="s">
        <v>76</v>
      </c>
      <c r="C56" s="48" t="s">
        <v>185</v>
      </c>
      <c r="D56" s="48" t="str">
        <f t="shared" si="0"/>
        <v>user-list</v>
      </c>
      <c r="E56" s="48" t="s">
        <v>340</v>
      </c>
      <c r="F56" s="71" t="s">
        <v>455</v>
      </c>
      <c r="G56" s="41">
        <v>3</v>
      </c>
      <c r="H56" s="41"/>
      <c r="I56" s="41"/>
      <c r="J56" s="41"/>
      <c r="K56" s="41"/>
      <c r="L56" s="41">
        <f>COUNTIFS(APIs!F:F,D56)</f>
        <v>1</v>
      </c>
      <c r="M56" s="41">
        <f>COUNTIFS(UI!F:F,D56)</f>
        <v>1</v>
      </c>
      <c r="N56" s="41">
        <f>COUNTIFS(Service!D:D,D56)</f>
        <v>0</v>
      </c>
      <c r="O56" s="84"/>
    </row>
    <row r="57" spans="1:15" x14ac:dyDescent="0.35">
      <c r="A57" s="41" t="s">
        <v>503</v>
      </c>
      <c r="B57" s="43" t="s">
        <v>569</v>
      </c>
      <c r="C57" s="48" t="s">
        <v>185</v>
      </c>
      <c r="D57" s="48" t="str">
        <f t="shared" si="0"/>
        <v>user_team-list</v>
      </c>
      <c r="E57" s="48" t="s">
        <v>570</v>
      </c>
      <c r="F57" s="71" t="s">
        <v>444</v>
      </c>
      <c r="G57" s="41"/>
      <c r="H57" s="41"/>
      <c r="I57" s="41">
        <v>3</v>
      </c>
      <c r="J57" s="41"/>
      <c r="K57" s="41"/>
      <c r="L57" s="41">
        <f>COUNTIFS(APIs!F:F,D57)</f>
        <v>1</v>
      </c>
      <c r="M57" s="41">
        <f>COUNTIFS(UI!F:F,D57)</f>
        <v>0</v>
      </c>
      <c r="N57" s="41">
        <f>COUNTIFS(Service!D:D,D57)</f>
        <v>0</v>
      </c>
      <c r="O57" s="84"/>
    </row>
    <row r="58" spans="1:15" x14ac:dyDescent="0.35">
      <c r="A58" s="41">
        <v>35</v>
      </c>
      <c r="B58" s="43" t="s">
        <v>550</v>
      </c>
      <c r="C58" s="48" t="s">
        <v>199</v>
      </c>
      <c r="D58" s="48" t="str">
        <f t="shared" si="0"/>
        <v>dashboard_case_all-view</v>
      </c>
      <c r="E58" s="48" t="s">
        <v>553</v>
      </c>
      <c r="F58" s="71" t="s">
        <v>455</v>
      </c>
      <c r="G58" s="41"/>
      <c r="H58" s="41"/>
      <c r="I58" s="41">
        <v>3</v>
      </c>
      <c r="J58" s="41"/>
      <c r="K58" s="41"/>
      <c r="L58" s="41">
        <f>COUNTIFS(APIs!F:F,D58)</f>
        <v>0</v>
      </c>
      <c r="M58" s="41">
        <f>COUNTIFS(UI!F:F,D58)</f>
        <v>1</v>
      </c>
      <c r="N58" s="41">
        <f>COUNTIFS(Service!D:D,D58)</f>
        <v>0</v>
      </c>
      <c r="O58" s="84"/>
    </row>
    <row r="59" spans="1:15" x14ac:dyDescent="0.35">
      <c r="A59" s="41">
        <v>36</v>
      </c>
      <c r="B59" s="43" t="s">
        <v>552</v>
      </c>
      <c r="C59" s="48" t="s">
        <v>199</v>
      </c>
      <c r="D59" s="48" t="str">
        <f t="shared" si="0"/>
        <v>dashboard_case_team-view</v>
      </c>
      <c r="E59" s="48" t="s">
        <v>555</v>
      </c>
      <c r="F59" s="71" t="s">
        <v>455</v>
      </c>
      <c r="G59" s="41"/>
      <c r="H59" s="41"/>
      <c r="I59" s="41">
        <v>3</v>
      </c>
      <c r="J59" s="41"/>
      <c r="K59" s="41"/>
      <c r="L59" s="41">
        <f>COUNTIFS(APIs!F:F,D59)</f>
        <v>0</v>
      </c>
      <c r="M59" s="41">
        <f>COUNTIFS(UI!F:F,D59)</f>
        <v>1</v>
      </c>
      <c r="N59" s="41">
        <f>COUNTIFS(Service!D:D,D59)</f>
        <v>0</v>
      </c>
      <c r="O59" s="84"/>
    </row>
    <row r="60" spans="1:15" x14ac:dyDescent="0.35">
      <c r="A60" s="41">
        <v>37</v>
      </c>
      <c r="B60" s="43" t="s">
        <v>616</v>
      </c>
      <c r="C60" s="42" t="s">
        <v>203</v>
      </c>
      <c r="D60" s="48" t="str">
        <f t="shared" si="0"/>
        <v>case_review-user-create</v>
      </c>
      <c r="E60" s="42" t="s">
        <v>619</v>
      </c>
      <c r="F60" s="41" t="s">
        <v>455</v>
      </c>
      <c r="G60" s="41">
        <v>3</v>
      </c>
      <c r="H60" s="41">
        <v>3</v>
      </c>
      <c r="I60" s="41">
        <v>3</v>
      </c>
      <c r="J60" s="41"/>
      <c r="K60" s="41">
        <v>3</v>
      </c>
      <c r="L60" s="41">
        <f>COUNTIFS(APIs!F:F,D60)</f>
        <v>1</v>
      </c>
      <c r="M60" s="41">
        <f>COUNTIFS(UI!F:F,D60)</f>
        <v>1</v>
      </c>
      <c r="N60" s="41">
        <f>COUNTIFS(Service!D:D,D60)</f>
        <v>0</v>
      </c>
      <c r="O60" s="84" t="s">
        <v>617</v>
      </c>
    </row>
    <row r="61" spans="1:15" x14ac:dyDescent="0.35">
      <c r="A61" s="41">
        <v>38</v>
      </c>
      <c r="B61" s="43" t="s">
        <v>616</v>
      </c>
      <c r="C61" s="42" t="s">
        <v>210</v>
      </c>
      <c r="D61" s="42" t="str">
        <f>B61 &amp; "-" &amp; C61</f>
        <v>case_review-user-edit</v>
      </c>
      <c r="E61" s="42" t="s">
        <v>618</v>
      </c>
      <c r="F61" s="41" t="s">
        <v>455</v>
      </c>
      <c r="G61" s="41">
        <v>3</v>
      </c>
      <c r="H61" s="41">
        <v>3</v>
      </c>
      <c r="I61" s="41">
        <v>3</v>
      </c>
      <c r="J61" s="41"/>
      <c r="K61" s="41">
        <v>3</v>
      </c>
      <c r="L61" s="41">
        <f>COUNTIFS(APIs!F:F,D61)</f>
        <v>1</v>
      </c>
      <c r="M61" s="41">
        <f>COUNTIFS(UI!F:F,D61)</f>
        <v>1</v>
      </c>
      <c r="N61" s="41">
        <f>COUNTIFS(Service!D:D,D61)</f>
        <v>0</v>
      </c>
      <c r="O61" s="84" t="s">
        <v>617</v>
      </c>
    </row>
    <row r="62" spans="1:15" x14ac:dyDescent="0.35">
      <c r="A62" s="41">
        <v>39</v>
      </c>
      <c r="B62" s="43" t="s">
        <v>616</v>
      </c>
      <c r="C62" s="48" t="s">
        <v>603</v>
      </c>
      <c r="D62" s="48" t="str">
        <f>B62 &amp; "-" &amp; C62</f>
        <v>case_review-user-allow</v>
      </c>
      <c r="E62" s="48" t="s">
        <v>623</v>
      </c>
      <c r="F62" s="41" t="s">
        <v>455</v>
      </c>
      <c r="G62" s="41">
        <v>3</v>
      </c>
      <c r="H62" s="41"/>
      <c r="I62" s="41">
        <v>3</v>
      </c>
      <c r="J62" s="41"/>
      <c r="K62" s="41"/>
      <c r="L62" s="41">
        <f>COUNTIFS(APIs!F:F,D62)</f>
        <v>0</v>
      </c>
      <c r="M62" s="41">
        <f>COUNTIFS(UI!F:F,D62)</f>
        <v>0</v>
      </c>
      <c r="N62" s="41">
        <f>COUNTIFS(Service!D:D,D62)</f>
        <v>0</v>
      </c>
      <c r="O62" s="84" t="s">
        <v>614</v>
      </c>
    </row>
    <row r="63" spans="1:15" x14ac:dyDescent="0.35">
      <c r="A63" s="41">
        <v>40</v>
      </c>
      <c r="B63" s="43" t="s">
        <v>378</v>
      </c>
      <c r="C63" s="48" t="s">
        <v>199</v>
      </c>
      <c r="D63" s="48" t="str">
        <f>B63 &amp; "-" &amp; C63</f>
        <v>case-user-view</v>
      </c>
      <c r="E63" s="48" t="s">
        <v>641</v>
      </c>
      <c r="F63" s="41" t="s">
        <v>455</v>
      </c>
      <c r="G63" s="41">
        <v>3</v>
      </c>
      <c r="H63" s="41">
        <v>3</v>
      </c>
      <c r="I63" s="41">
        <v>3</v>
      </c>
      <c r="J63" s="41"/>
      <c r="K63" s="41">
        <v>3</v>
      </c>
      <c r="L63" s="41">
        <f>COUNTIFS(APIs!F:F,D63)</f>
        <v>1</v>
      </c>
      <c r="M63" s="41">
        <f>COUNTIFS(UI!F:F,D63)</f>
        <v>1</v>
      </c>
      <c r="N63" s="41">
        <f>COUNTIFS(Service!D:D,D63)</f>
        <v>0</v>
      </c>
      <c r="O63" s="84" t="s">
        <v>640</v>
      </c>
    </row>
    <row r="64" spans="1:15" x14ac:dyDescent="0.35">
      <c r="A64" t="s">
        <v>339</v>
      </c>
      <c r="E64" s="72"/>
    </row>
    <row r="67" spans="1:14" x14ac:dyDescent="0.35">
      <c r="A67" t="s">
        <v>573</v>
      </c>
    </row>
    <row r="68" spans="1:14" x14ac:dyDescent="0.35">
      <c r="A68" s="41">
        <v>35</v>
      </c>
      <c r="B68" s="43" t="s">
        <v>551</v>
      </c>
      <c r="C68" s="48" t="s">
        <v>199</v>
      </c>
      <c r="D68" s="48" t="str">
        <f>B68 &amp; "-" &amp; C68</f>
        <v>dashboard_case_my-view</v>
      </c>
      <c r="E68" s="48" t="s">
        <v>554</v>
      </c>
      <c r="F68" s="71" t="s">
        <v>444</v>
      </c>
      <c r="G68" s="41"/>
      <c r="H68" s="41"/>
      <c r="I68" s="41"/>
      <c r="J68" s="41"/>
      <c r="K68" s="41"/>
      <c r="L68" s="41">
        <f>COUNTIFS(APIs!F:F,D68)</f>
        <v>0</v>
      </c>
      <c r="M68" s="41">
        <f>COUNTIFS(UI!F:F,D68)</f>
        <v>0</v>
      </c>
      <c r="N68" s="41">
        <f>COUNTIFS(Service!D:D,D68)</f>
        <v>0</v>
      </c>
    </row>
  </sheetData>
  <autoFilter ref="A4:O64" xr:uid="{9210CF41-BBC9-4CB9-8B3D-F049A4038702}"/>
  <mergeCells count="2">
    <mergeCell ref="G2:K2"/>
    <mergeCell ref="L3:N3"/>
  </mergeCells>
  <conditionalFormatting sqref="G2 G21:K21 G23:K25 G4:K19 G29:K59 G61:K1048576">
    <cfRule type="cellIs" dxfId="53" priority="26" operator="equal">
      <formula>1</formula>
    </cfRule>
    <cfRule type="containsText" dxfId="52" priority="27" operator="containsText" text="0">
      <formula>NOT(ISERROR(SEARCH("0",G2)))</formula>
    </cfRule>
    <cfRule type="cellIs" dxfId="51" priority="28" operator="equal">
      <formula>3</formula>
    </cfRule>
  </conditionalFormatting>
  <conditionalFormatting sqref="L21:N21 L23:N25 L68:N68 L5:N19 L29:N59 L61:N63">
    <cfRule type="cellIs" dxfId="50" priority="25" operator="equal">
      <formula>0</formula>
    </cfRule>
  </conditionalFormatting>
  <conditionalFormatting sqref="G28:K28">
    <cfRule type="cellIs" dxfId="49" priority="22" operator="equal">
      <formula>1</formula>
    </cfRule>
    <cfRule type="containsText" dxfId="48" priority="23" operator="containsText" text="0">
      <formula>NOT(ISERROR(SEARCH("0",G28)))</formula>
    </cfRule>
    <cfRule type="cellIs" dxfId="47" priority="24" operator="equal">
      <formula>3</formula>
    </cfRule>
  </conditionalFormatting>
  <conditionalFormatting sqref="L28:N28">
    <cfRule type="cellIs" dxfId="46" priority="21" operator="equal">
      <formula>0</formula>
    </cfRule>
  </conditionalFormatting>
  <conditionalFormatting sqref="G20:K20">
    <cfRule type="cellIs" dxfId="45" priority="18" operator="equal">
      <formula>1</formula>
    </cfRule>
    <cfRule type="containsText" dxfId="44" priority="19" operator="containsText" text="0">
      <formula>NOT(ISERROR(SEARCH("0",G20)))</formula>
    </cfRule>
    <cfRule type="cellIs" dxfId="43" priority="20" operator="equal">
      <formula>3</formula>
    </cfRule>
  </conditionalFormatting>
  <conditionalFormatting sqref="L20:N20">
    <cfRule type="cellIs" dxfId="42" priority="17" operator="equal">
      <formula>0</formula>
    </cfRule>
  </conditionalFormatting>
  <conditionalFormatting sqref="G22:K22">
    <cfRule type="cellIs" dxfId="41" priority="14" operator="equal">
      <formula>1</formula>
    </cfRule>
    <cfRule type="containsText" dxfId="40" priority="15" operator="containsText" text="0">
      <formula>NOT(ISERROR(SEARCH("0",G22)))</formula>
    </cfRule>
    <cfRule type="cellIs" dxfId="39" priority="16" operator="equal">
      <formula>3</formula>
    </cfRule>
  </conditionalFormatting>
  <conditionalFormatting sqref="L22:N22">
    <cfRule type="cellIs" dxfId="38" priority="13" operator="equal">
      <formula>0</formula>
    </cfRule>
  </conditionalFormatting>
  <conditionalFormatting sqref="G26:K26">
    <cfRule type="cellIs" dxfId="37" priority="10" operator="equal">
      <formula>1</formula>
    </cfRule>
    <cfRule type="containsText" dxfId="36" priority="11" operator="containsText" text="0">
      <formula>NOT(ISERROR(SEARCH("0",G26)))</formula>
    </cfRule>
    <cfRule type="cellIs" dxfId="35" priority="12" operator="equal">
      <formula>3</formula>
    </cfRule>
  </conditionalFormatting>
  <conditionalFormatting sqref="L26:N26">
    <cfRule type="cellIs" dxfId="34" priority="9" operator="equal">
      <formula>0</formula>
    </cfRule>
  </conditionalFormatting>
  <conditionalFormatting sqref="G27:K27">
    <cfRule type="cellIs" dxfId="33" priority="6" operator="equal">
      <formula>1</formula>
    </cfRule>
    <cfRule type="containsText" dxfId="32" priority="7" operator="containsText" text="0">
      <formula>NOT(ISERROR(SEARCH("0",G27)))</formula>
    </cfRule>
    <cfRule type="cellIs" dxfId="31" priority="8" operator="equal">
      <formula>3</formula>
    </cfRule>
  </conditionalFormatting>
  <conditionalFormatting sqref="L27:N27">
    <cfRule type="cellIs" dxfId="30" priority="5" operator="equal">
      <formula>0</formula>
    </cfRule>
  </conditionalFormatting>
  <conditionalFormatting sqref="G60:K63">
    <cfRule type="cellIs" dxfId="29" priority="2" operator="equal">
      <formula>1</formula>
    </cfRule>
    <cfRule type="containsText" dxfId="28" priority="3" operator="containsText" text="0">
      <formula>NOT(ISERROR(SEARCH("0",G60)))</formula>
    </cfRule>
    <cfRule type="cellIs" dxfId="27" priority="4" operator="equal">
      <formula>3</formula>
    </cfRule>
  </conditionalFormatting>
  <conditionalFormatting sqref="L60:N63">
    <cfRule type="cellIs" dxfId="26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82"/>
  <sheetViews>
    <sheetView tabSelected="1" topLeftCell="A7" zoomScale="85" zoomScaleNormal="85" workbookViewId="0">
      <selection activeCell="C17" sqref="C17"/>
    </sheetView>
  </sheetViews>
  <sheetFormatPr defaultRowHeight="14.5" x14ac:dyDescent="0.35"/>
  <cols>
    <col min="1" max="1" width="9.1796875" style="1"/>
    <col min="2" max="2" width="21.1796875" bestFit="1" customWidth="1"/>
    <col min="3" max="3" width="41" style="6" customWidth="1"/>
    <col min="4" max="4" width="8" style="6" bestFit="1" customWidth="1"/>
    <col min="5" max="5" width="57.26953125" style="1" customWidth="1"/>
    <col min="6" max="6" width="27.7265625" style="1" customWidth="1"/>
    <col min="7" max="7" width="19.81640625" style="6" bestFit="1" customWidth="1"/>
    <col min="8" max="8" width="19.81640625" style="6" customWidth="1"/>
    <col min="9" max="9" width="16.1796875" customWidth="1"/>
    <col min="10" max="10" width="47" bestFit="1" customWidth="1"/>
    <col min="11" max="11" width="40.81640625" customWidth="1"/>
  </cols>
  <sheetData>
    <row r="1" spans="1:11" s="1" customFormat="1" x14ac:dyDescent="0.35">
      <c r="A1" s="53" t="s">
        <v>316</v>
      </c>
      <c r="B1" s="53" t="s">
        <v>6</v>
      </c>
      <c r="C1" s="54" t="s">
        <v>2</v>
      </c>
      <c r="D1" s="54" t="s">
        <v>165</v>
      </c>
      <c r="E1" s="53" t="s">
        <v>7</v>
      </c>
      <c r="F1" s="53" t="s">
        <v>175</v>
      </c>
      <c r="G1" s="54" t="s">
        <v>158</v>
      </c>
      <c r="H1" s="54" t="s">
        <v>387</v>
      </c>
      <c r="I1" s="54" t="s">
        <v>391</v>
      </c>
      <c r="J1" s="54" t="s">
        <v>390</v>
      </c>
      <c r="K1" s="54" t="s">
        <v>621</v>
      </c>
    </row>
    <row r="2" spans="1:11" x14ac:dyDescent="0.35">
      <c r="A2" s="41">
        <v>1</v>
      </c>
      <c r="B2" s="41" t="s">
        <v>0</v>
      </c>
      <c r="C2" s="55" t="s">
        <v>1</v>
      </c>
      <c r="D2" s="55" t="s">
        <v>166</v>
      </c>
      <c r="E2" s="56" t="s">
        <v>90</v>
      </c>
      <c r="F2" s="56" t="s">
        <v>268</v>
      </c>
      <c r="G2" s="55" t="s">
        <v>159</v>
      </c>
      <c r="H2" s="55" t="s">
        <v>388</v>
      </c>
      <c r="I2" s="45" t="str">
        <f t="shared" ref="I2:I34" si="0" xml:space="preserve"> IF(ISNA( VLOOKUP(F2,lstFeatures,1,FALSE)),"Invalid","Valid")</f>
        <v>Valid</v>
      </c>
      <c r="J2" s="45" t="str">
        <f>C2&amp;"-"&amp;D2</f>
        <v>/api/v1/about-GET</v>
      </c>
    </row>
    <row r="3" spans="1:11" x14ac:dyDescent="0.35">
      <c r="A3" s="41">
        <v>2</v>
      </c>
      <c r="B3" s="41" t="s">
        <v>3</v>
      </c>
      <c r="C3" s="55" t="s">
        <v>4</v>
      </c>
      <c r="D3" s="55" t="s">
        <v>166</v>
      </c>
      <c r="E3" s="56" t="s">
        <v>5</v>
      </c>
      <c r="F3" s="56" t="s">
        <v>223</v>
      </c>
      <c r="G3" s="55" t="s">
        <v>159</v>
      </c>
      <c r="H3" s="55" t="s">
        <v>389</v>
      </c>
      <c r="I3" s="45" t="str">
        <f t="shared" si="0"/>
        <v>Valid</v>
      </c>
      <c r="J3" s="45" t="str">
        <f t="shared" ref="J3:J75" si="1">C3&amp;"-"&amp;D3</f>
        <v>/api/v1/action-GET</v>
      </c>
    </row>
    <row r="4" spans="1:11" x14ac:dyDescent="0.35">
      <c r="A4" s="41">
        <v>3</v>
      </c>
      <c r="B4" s="41" t="s">
        <v>3</v>
      </c>
      <c r="C4" s="55" t="s">
        <v>295</v>
      </c>
      <c r="D4" s="55" t="s">
        <v>166</v>
      </c>
      <c r="E4" s="56" t="s">
        <v>296</v>
      </c>
      <c r="F4" s="56" t="s">
        <v>235</v>
      </c>
      <c r="G4" s="55"/>
      <c r="H4" s="55" t="s">
        <v>389</v>
      </c>
      <c r="I4" s="45" t="str">
        <f t="shared" si="0"/>
        <v>Valid</v>
      </c>
      <c r="J4" s="45" t="str">
        <f t="shared" si="1"/>
        <v>/api/v1/action?docId=1000742-GET</v>
      </c>
    </row>
    <row r="5" spans="1:11" x14ac:dyDescent="0.35">
      <c r="A5" s="41">
        <v>4</v>
      </c>
      <c r="B5" s="41" t="s">
        <v>3</v>
      </c>
      <c r="C5" s="55" t="s">
        <v>4</v>
      </c>
      <c r="D5" s="55" t="s">
        <v>168</v>
      </c>
      <c r="E5" s="56" t="s">
        <v>8</v>
      </c>
      <c r="F5" s="56" t="s">
        <v>224</v>
      </c>
      <c r="G5" s="55" t="s">
        <v>159</v>
      </c>
      <c r="H5" s="55" t="s">
        <v>388</v>
      </c>
      <c r="I5" s="45" t="str">
        <f t="shared" si="0"/>
        <v>Valid</v>
      </c>
      <c r="J5" s="45" t="str">
        <f t="shared" si="1"/>
        <v>/api/v1/action-POST</v>
      </c>
    </row>
    <row r="6" spans="1:11" x14ac:dyDescent="0.35">
      <c r="A6" s="41">
        <v>5</v>
      </c>
      <c r="B6" s="41" t="s">
        <v>3</v>
      </c>
      <c r="C6" s="55" t="s">
        <v>4</v>
      </c>
      <c r="D6" s="55" t="s">
        <v>170</v>
      </c>
      <c r="E6" s="56" t="s">
        <v>9</v>
      </c>
      <c r="F6" s="56" t="s">
        <v>292</v>
      </c>
      <c r="G6" s="55" t="s">
        <v>159</v>
      </c>
      <c r="H6" s="55" t="s">
        <v>388</v>
      </c>
      <c r="I6" s="45" t="str">
        <f t="shared" si="0"/>
        <v>Valid</v>
      </c>
      <c r="J6" s="45" t="str">
        <f t="shared" si="1"/>
        <v>/api/v1/action-PUT</v>
      </c>
    </row>
    <row r="7" spans="1:11" x14ac:dyDescent="0.35">
      <c r="A7" s="41">
        <v>6</v>
      </c>
      <c r="B7" s="41" t="s">
        <v>3</v>
      </c>
      <c r="C7" s="55" t="s">
        <v>10</v>
      </c>
      <c r="D7" s="55" t="s">
        <v>167</v>
      </c>
      <c r="E7" s="43" t="s">
        <v>11</v>
      </c>
      <c r="F7" s="43" t="s">
        <v>294</v>
      </c>
      <c r="G7" s="55" t="s">
        <v>159</v>
      </c>
      <c r="H7" s="55" t="s">
        <v>388</v>
      </c>
      <c r="I7" s="45" t="str">
        <f t="shared" si="0"/>
        <v>Valid</v>
      </c>
      <c r="J7" s="45" t="str">
        <f t="shared" si="1"/>
        <v>/api/v1/action/{docActionRelId}-DELETE</v>
      </c>
    </row>
    <row r="8" spans="1:11" ht="26" x14ac:dyDescent="0.35">
      <c r="A8" s="41">
        <v>7</v>
      </c>
      <c r="B8" s="41" t="s">
        <v>3</v>
      </c>
      <c r="C8" s="55" t="s">
        <v>12</v>
      </c>
      <c r="D8" s="55" t="s">
        <v>166</v>
      </c>
      <c r="E8" s="57" t="s">
        <v>169</v>
      </c>
      <c r="F8" s="57" t="s">
        <v>235</v>
      </c>
      <c r="G8" s="55" t="s">
        <v>164</v>
      </c>
      <c r="H8" s="55" t="s">
        <v>388</v>
      </c>
      <c r="I8" s="45" t="str">
        <f t="shared" si="0"/>
        <v>Valid</v>
      </c>
      <c r="J8" s="45" t="str">
        <f t="shared" si="1"/>
        <v>/api/v1/action/mapping-GET</v>
      </c>
    </row>
    <row r="9" spans="1:11" x14ac:dyDescent="0.35">
      <c r="A9" s="41">
        <v>8</v>
      </c>
      <c r="B9" s="41" t="s">
        <v>3</v>
      </c>
      <c r="C9" s="58" t="s">
        <v>99</v>
      </c>
      <c r="D9" s="58" t="s">
        <v>166</v>
      </c>
      <c r="E9" s="56" t="s">
        <v>100</v>
      </c>
      <c r="F9" s="56" t="s">
        <v>235</v>
      </c>
      <c r="G9" s="55" t="s">
        <v>161</v>
      </c>
      <c r="H9" s="55" t="s">
        <v>388</v>
      </c>
      <c r="I9" s="45" t="str">
        <f t="shared" si="0"/>
        <v>Valid</v>
      </c>
      <c r="J9" s="45" t="str">
        <f t="shared" si="1"/>
        <v>/api/v1/action/recommendation-GET</v>
      </c>
    </row>
    <row r="10" spans="1:11" ht="26" x14ac:dyDescent="0.35">
      <c r="A10" s="41">
        <v>9</v>
      </c>
      <c r="B10" s="41" t="s">
        <v>3</v>
      </c>
      <c r="C10" s="58" t="s">
        <v>97</v>
      </c>
      <c r="D10" s="58" t="s">
        <v>166</v>
      </c>
      <c r="E10" s="57" t="s">
        <v>98</v>
      </c>
      <c r="F10" s="57" t="s">
        <v>235</v>
      </c>
      <c r="G10" s="55" t="s">
        <v>161</v>
      </c>
      <c r="H10" s="55" t="s">
        <v>388</v>
      </c>
      <c r="I10" s="45" t="str">
        <f t="shared" si="0"/>
        <v>Valid</v>
      </c>
      <c r="J10" s="45" t="str">
        <f t="shared" si="1"/>
        <v>/api/v1/action/param/attr/recommendation-GET</v>
      </c>
    </row>
    <row r="11" spans="1:11" x14ac:dyDescent="0.35">
      <c r="A11" s="41">
        <v>10</v>
      </c>
      <c r="B11" s="41" t="s">
        <v>14</v>
      </c>
      <c r="C11" s="59" t="s">
        <v>102</v>
      </c>
      <c r="D11" s="59" t="s">
        <v>166</v>
      </c>
      <c r="E11" s="43" t="s">
        <v>15</v>
      </c>
      <c r="F11" s="43" t="s">
        <v>274</v>
      </c>
      <c r="G11" s="55" t="s">
        <v>162</v>
      </c>
      <c r="H11" s="55" t="s">
        <v>388</v>
      </c>
      <c r="I11" s="45" t="str">
        <f t="shared" si="0"/>
        <v>Valid</v>
      </c>
      <c r="J11" s="45" t="str">
        <f t="shared" si="1"/>
        <v>/api/v1/attachment/doc-GET</v>
      </c>
    </row>
    <row r="12" spans="1:11" x14ac:dyDescent="0.35">
      <c r="A12" s="41">
        <v>11</v>
      </c>
      <c r="B12" s="41" t="s">
        <v>14</v>
      </c>
      <c r="C12" s="59" t="s">
        <v>101</v>
      </c>
      <c r="D12" s="59" t="s">
        <v>168</v>
      </c>
      <c r="E12" s="43" t="s">
        <v>16</v>
      </c>
      <c r="F12" s="43" t="s">
        <v>275</v>
      </c>
      <c r="G12" s="55" t="s">
        <v>162</v>
      </c>
      <c r="H12" s="55" t="s">
        <v>388</v>
      </c>
      <c r="I12" s="45" t="str">
        <f t="shared" si="0"/>
        <v>Valid</v>
      </c>
      <c r="J12" s="45" t="str">
        <f t="shared" si="1"/>
        <v>/api/v1/attachment/doc-POST</v>
      </c>
    </row>
    <row r="13" spans="1:11" x14ac:dyDescent="0.35">
      <c r="A13" s="41">
        <v>12</v>
      </c>
      <c r="B13" s="41" t="s">
        <v>14</v>
      </c>
      <c r="C13" s="55" t="s">
        <v>103</v>
      </c>
      <c r="D13" s="55" t="s">
        <v>166</v>
      </c>
      <c r="E13" s="43" t="s">
        <v>17</v>
      </c>
      <c r="F13" s="43" t="s">
        <v>274</v>
      </c>
      <c r="G13" s="55" t="s">
        <v>162</v>
      </c>
      <c r="H13" s="55" t="s">
        <v>388</v>
      </c>
      <c r="I13" s="45" t="str">
        <f t="shared" si="0"/>
        <v>Valid</v>
      </c>
      <c r="J13" s="45" t="str">
        <f t="shared" si="1"/>
        <v>/api/v1/attachment/doc/file-GET</v>
      </c>
    </row>
    <row r="14" spans="1:11" x14ac:dyDescent="0.35">
      <c r="A14" s="41">
        <v>13</v>
      </c>
      <c r="B14" s="41" t="s">
        <v>14</v>
      </c>
      <c r="C14" s="58" t="s">
        <v>109</v>
      </c>
      <c r="D14" s="58" t="s">
        <v>168</v>
      </c>
      <c r="E14" s="43" t="s">
        <v>108</v>
      </c>
      <c r="F14" s="43" t="s">
        <v>275</v>
      </c>
      <c r="G14" s="55" t="s">
        <v>161</v>
      </c>
      <c r="H14" s="55" t="s">
        <v>388</v>
      </c>
      <c r="I14" s="45" t="str">
        <f t="shared" si="0"/>
        <v>Valid</v>
      </c>
      <c r="J14" s="45" t="str">
        <f t="shared" si="1"/>
        <v>/api/v1/attachment/doc/group-POST</v>
      </c>
    </row>
    <row r="15" spans="1:11" x14ac:dyDescent="0.35">
      <c r="A15" s="41">
        <v>14</v>
      </c>
      <c r="B15" s="41" t="s">
        <v>14</v>
      </c>
      <c r="C15" s="58" t="s">
        <v>107</v>
      </c>
      <c r="D15" s="58" t="s">
        <v>166</v>
      </c>
      <c r="E15" s="43" t="s">
        <v>106</v>
      </c>
      <c r="F15" s="43" t="s">
        <v>428</v>
      </c>
      <c r="G15" s="55" t="s">
        <v>161</v>
      </c>
      <c r="H15" s="55" t="s">
        <v>388</v>
      </c>
      <c r="I15" s="45" t="str">
        <f t="shared" si="0"/>
        <v>Valid</v>
      </c>
      <c r="J15" s="45" t="str">
        <f t="shared" si="1"/>
        <v>/api/v1/attachment/email-GET</v>
      </c>
    </row>
    <row r="16" spans="1:11" x14ac:dyDescent="0.35">
      <c r="A16" s="41">
        <v>15</v>
      </c>
      <c r="B16" s="41" t="s">
        <v>14</v>
      </c>
      <c r="C16" s="58" t="s">
        <v>105</v>
      </c>
      <c r="D16" s="58" t="s">
        <v>166</v>
      </c>
      <c r="E16" s="43" t="s">
        <v>104</v>
      </c>
      <c r="F16" s="43" t="s">
        <v>428</v>
      </c>
      <c r="G16" s="55" t="s">
        <v>161</v>
      </c>
      <c r="H16" s="55" t="s">
        <v>388</v>
      </c>
      <c r="I16" s="45" t="str">
        <f t="shared" si="0"/>
        <v>Valid</v>
      </c>
      <c r="J16" s="45" t="str">
        <f t="shared" si="1"/>
        <v>/api/v1/attachment/email/file-GET</v>
      </c>
    </row>
    <row r="17" spans="1:10" x14ac:dyDescent="0.35">
      <c r="A17" s="41" t="s">
        <v>649</v>
      </c>
      <c r="B17" s="41" t="s">
        <v>14</v>
      </c>
      <c r="C17" s="58" t="s">
        <v>648</v>
      </c>
      <c r="D17" s="58" t="s">
        <v>168</v>
      </c>
      <c r="E17" s="43" t="s">
        <v>647</v>
      </c>
      <c r="F17" s="43" t="s">
        <v>275</v>
      </c>
      <c r="G17" s="55" t="s">
        <v>161</v>
      </c>
      <c r="H17" s="55" t="s">
        <v>388</v>
      </c>
      <c r="I17" s="45" t="str">
        <f t="shared" si="0"/>
        <v>Valid</v>
      </c>
      <c r="J17" s="45" t="str">
        <f t="shared" si="1"/>
        <v>/api/v1/attachment/attachment-POST</v>
      </c>
    </row>
    <row r="18" spans="1:10" x14ac:dyDescent="0.35">
      <c r="A18" s="41">
        <v>16</v>
      </c>
      <c r="B18" s="41" t="s">
        <v>18</v>
      </c>
      <c r="C18" s="59" t="s">
        <v>116</v>
      </c>
      <c r="D18" s="59" t="s">
        <v>168</v>
      </c>
      <c r="E18" s="43" t="s">
        <v>117</v>
      </c>
      <c r="F18" s="41" t="s">
        <v>239</v>
      </c>
      <c r="G18" s="55" t="s">
        <v>161</v>
      </c>
      <c r="H18" s="55" t="s">
        <v>388</v>
      </c>
      <c r="I18" s="45" t="str">
        <f t="shared" si="0"/>
        <v>Valid</v>
      </c>
      <c r="J18" s="45" t="str">
        <f t="shared" si="1"/>
        <v>/api/v1/attribute/edit-POST</v>
      </c>
    </row>
    <row r="19" spans="1:10" ht="25" x14ac:dyDescent="0.35">
      <c r="A19" s="41">
        <v>17</v>
      </c>
      <c r="B19" s="41" t="s">
        <v>18</v>
      </c>
      <c r="C19" s="59" t="s">
        <v>128</v>
      </c>
      <c r="D19" s="59" t="s">
        <v>166</v>
      </c>
      <c r="E19" s="43" t="s">
        <v>129</v>
      </c>
      <c r="F19" s="43" t="s">
        <v>236</v>
      </c>
      <c r="G19" s="55" t="s">
        <v>161</v>
      </c>
      <c r="H19" s="55" t="s">
        <v>388</v>
      </c>
      <c r="I19" s="45" t="str">
        <f t="shared" si="0"/>
        <v>Valid</v>
      </c>
      <c r="J19" s="45" t="str">
        <f t="shared" si="1"/>
        <v>/api/v1/attribute/attachment-GET</v>
      </c>
    </row>
    <row r="20" spans="1:10" x14ac:dyDescent="0.35">
      <c r="A20" s="41">
        <v>18</v>
      </c>
      <c r="B20" s="41" t="s">
        <v>18</v>
      </c>
      <c r="C20" s="59" t="s">
        <v>132</v>
      </c>
      <c r="D20" s="59" t="s">
        <v>166</v>
      </c>
      <c r="E20" s="43" t="s">
        <v>133</v>
      </c>
      <c r="F20" s="43" t="s">
        <v>236</v>
      </c>
      <c r="G20" s="55" t="s">
        <v>161</v>
      </c>
      <c r="H20" s="55" t="s">
        <v>388</v>
      </c>
      <c r="I20" s="45" t="str">
        <f t="shared" si="0"/>
        <v>Valid</v>
      </c>
      <c r="J20" s="45" t="str">
        <f t="shared" si="1"/>
        <v>/api/v1/attribute/values-GET</v>
      </c>
    </row>
    <row r="21" spans="1:10" x14ac:dyDescent="0.35">
      <c r="A21" s="41">
        <v>19</v>
      </c>
      <c r="B21" s="41" t="s">
        <v>18</v>
      </c>
      <c r="C21" s="59" t="s">
        <v>134</v>
      </c>
      <c r="D21" s="59" t="s">
        <v>166</v>
      </c>
      <c r="E21" s="43" t="s">
        <v>135</v>
      </c>
      <c r="F21" s="43" t="s">
        <v>236</v>
      </c>
      <c r="G21" s="55" t="s">
        <v>161</v>
      </c>
      <c r="H21" s="55" t="s">
        <v>388</v>
      </c>
      <c r="I21" s="45" t="str">
        <f t="shared" si="0"/>
        <v>Valid</v>
      </c>
      <c r="J21" s="45" t="str">
        <f t="shared" si="1"/>
        <v>/api/v1/attribute/notification-GET</v>
      </c>
    </row>
    <row r="22" spans="1:10" x14ac:dyDescent="0.35">
      <c r="A22" s="41">
        <v>20</v>
      </c>
      <c r="B22" s="41" t="s">
        <v>18</v>
      </c>
      <c r="C22" s="59" t="s">
        <v>130</v>
      </c>
      <c r="D22" s="59" t="s">
        <v>166</v>
      </c>
      <c r="E22" s="43" t="s">
        <v>131</v>
      </c>
      <c r="F22" s="61" t="s">
        <v>236</v>
      </c>
      <c r="G22" s="55" t="s">
        <v>161</v>
      </c>
      <c r="H22" s="55" t="s">
        <v>388</v>
      </c>
      <c r="I22" s="45" t="str">
        <f t="shared" si="0"/>
        <v>Valid</v>
      </c>
      <c r="J22" s="45" t="str">
        <f t="shared" si="1"/>
        <v>/api/v1/attribute/export-GET</v>
      </c>
    </row>
    <row r="23" spans="1:10" x14ac:dyDescent="0.35">
      <c r="A23" s="41">
        <v>21</v>
      </c>
      <c r="B23" s="41" t="s">
        <v>18</v>
      </c>
      <c r="C23" s="59" t="s">
        <v>126</v>
      </c>
      <c r="D23" s="59" t="s">
        <v>166</v>
      </c>
      <c r="E23" s="43" t="s">
        <v>127</v>
      </c>
      <c r="F23" s="43" t="s">
        <v>236</v>
      </c>
      <c r="G23" s="55" t="s">
        <v>161</v>
      </c>
      <c r="H23" s="55" t="s">
        <v>388</v>
      </c>
      <c r="I23" s="45" t="str">
        <f t="shared" si="0"/>
        <v>Valid</v>
      </c>
      <c r="J23" s="45" t="str">
        <f t="shared" si="1"/>
        <v>/api/v1/attribute/document-GET</v>
      </c>
    </row>
    <row r="24" spans="1:10" x14ac:dyDescent="0.35">
      <c r="A24" s="41">
        <v>22</v>
      </c>
      <c r="B24" s="41" t="s">
        <v>18</v>
      </c>
      <c r="C24" s="59" t="s">
        <v>124</v>
      </c>
      <c r="D24" s="59" t="s">
        <v>166</v>
      </c>
      <c r="E24" s="43" t="s">
        <v>125</v>
      </c>
      <c r="F24" s="43" t="s">
        <v>236</v>
      </c>
      <c r="G24" s="55" t="s">
        <v>161</v>
      </c>
      <c r="H24" s="55" t="s">
        <v>388</v>
      </c>
      <c r="I24" s="45" t="str">
        <f t="shared" si="0"/>
        <v>Valid</v>
      </c>
      <c r="J24" s="45" t="str">
        <f t="shared" si="1"/>
        <v>/api/v1/attribute/sortkey-GET</v>
      </c>
    </row>
    <row r="25" spans="1:10" x14ac:dyDescent="0.35">
      <c r="A25" s="41">
        <v>23</v>
      </c>
      <c r="B25" s="41" t="s">
        <v>18</v>
      </c>
      <c r="C25" s="59" t="s">
        <v>122</v>
      </c>
      <c r="D25" s="59" t="s">
        <v>166</v>
      </c>
      <c r="E25" s="43" t="s">
        <v>123</v>
      </c>
      <c r="F25" s="43" t="s">
        <v>236</v>
      </c>
      <c r="G25" s="55" t="s">
        <v>161</v>
      </c>
      <c r="H25" s="55" t="s">
        <v>388</v>
      </c>
      <c r="I25" s="45" t="str">
        <f t="shared" si="0"/>
        <v>Valid</v>
      </c>
      <c r="J25" s="45" t="str">
        <f t="shared" si="1"/>
        <v>/api/v1/attribute/attribute/mapping-GET</v>
      </c>
    </row>
    <row r="26" spans="1:10" x14ac:dyDescent="0.35">
      <c r="A26" s="41">
        <v>24</v>
      </c>
      <c r="B26" s="41" t="s">
        <v>18</v>
      </c>
      <c r="C26" s="59" t="s">
        <v>120</v>
      </c>
      <c r="D26" s="59" t="s">
        <v>166</v>
      </c>
      <c r="E26" s="43" t="s">
        <v>121</v>
      </c>
      <c r="F26" s="43" t="s">
        <v>236</v>
      </c>
      <c r="G26" s="55" t="s">
        <v>161</v>
      </c>
      <c r="H26" s="55" t="s">
        <v>388</v>
      </c>
      <c r="I26" s="45" t="str">
        <f t="shared" si="0"/>
        <v>Valid</v>
      </c>
      <c r="J26" s="45" t="str">
        <f t="shared" si="1"/>
        <v>/api/v1/attribute/names-GET</v>
      </c>
    </row>
    <row r="27" spans="1:10" x14ac:dyDescent="0.35">
      <c r="A27" s="41">
        <v>25</v>
      </c>
      <c r="B27" s="41" t="s">
        <v>18</v>
      </c>
      <c r="C27" s="59" t="s">
        <v>118</v>
      </c>
      <c r="D27" s="59" t="s">
        <v>168</v>
      </c>
      <c r="E27" s="43" t="s">
        <v>119</v>
      </c>
      <c r="F27" s="43" t="s">
        <v>238</v>
      </c>
      <c r="G27" s="55" t="s">
        <v>161</v>
      </c>
      <c r="H27" s="55" t="s">
        <v>388</v>
      </c>
      <c r="I27" s="45" t="str">
        <f t="shared" si="0"/>
        <v>Valid</v>
      </c>
      <c r="J27" s="45" t="str">
        <f t="shared" si="1"/>
        <v>/api/v1/attribute/delete-POST</v>
      </c>
    </row>
    <row r="28" spans="1:10" x14ac:dyDescent="0.35">
      <c r="A28" s="41">
        <v>26</v>
      </c>
      <c r="B28" s="41" t="s">
        <v>18</v>
      </c>
      <c r="C28" s="59" t="s">
        <v>114</v>
      </c>
      <c r="D28" s="59" t="s">
        <v>168</v>
      </c>
      <c r="E28" s="43" t="s">
        <v>115</v>
      </c>
      <c r="F28" s="43" t="s">
        <v>237</v>
      </c>
      <c r="G28" s="55" t="s">
        <v>161</v>
      </c>
      <c r="H28" s="55" t="s">
        <v>388</v>
      </c>
      <c r="I28" s="45" t="str">
        <f t="shared" si="0"/>
        <v>Valid</v>
      </c>
      <c r="J28" s="45" t="str">
        <f t="shared" si="1"/>
        <v>/api/v1/attribute/add-POST</v>
      </c>
    </row>
    <row r="29" spans="1:10" x14ac:dyDescent="0.35">
      <c r="A29" s="41">
        <v>27</v>
      </c>
      <c r="B29" s="41" t="s">
        <v>205</v>
      </c>
      <c r="C29" s="59" t="s">
        <v>110</v>
      </c>
      <c r="D29" s="59" t="s">
        <v>168</v>
      </c>
      <c r="E29" s="43" t="s">
        <v>111</v>
      </c>
      <c r="F29" s="43" t="s">
        <v>237</v>
      </c>
      <c r="G29" s="55" t="s">
        <v>161</v>
      </c>
      <c r="H29" s="55" t="s">
        <v>388</v>
      </c>
      <c r="I29" s="45" t="str">
        <f t="shared" si="0"/>
        <v>Valid</v>
      </c>
      <c r="J29" s="45" t="str">
        <f t="shared" si="1"/>
        <v>/api/v1/annotation/add-POST</v>
      </c>
    </row>
    <row r="30" spans="1:10" x14ac:dyDescent="0.35">
      <c r="A30" s="41">
        <v>28</v>
      </c>
      <c r="B30" s="41" t="s">
        <v>205</v>
      </c>
      <c r="C30" s="59" t="s">
        <v>112</v>
      </c>
      <c r="D30" s="59" t="s">
        <v>168</v>
      </c>
      <c r="E30" s="43" t="s">
        <v>113</v>
      </c>
      <c r="F30" s="61" t="s">
        <v>305</v>
      </c>
      <c r="G30" s="55" t="s">
        <v>161</v>
      </c>
      <c r="H30" s="55" t="s">
        <v>388</v>
      </c>
      <c r="I30" s="45" t="str">
        <f t="shared" si="0"/>
        <v>Valid</v>
      </c>
      <c r="J30" s="45" t="str">
        <f t="shared" si="1"/>
        <v>/api/v1/annotation/export/iob-POST</v>
      </c>
    </row>
    <row r="31" spans="1:10" x14ac:dyDescent="0.35">
      <c r="A31" s="41">
        <v>29</v>
      </c>
      <c r="B31" s="41" t="s">
        <v>278</v>
      </c>
      <c r="C31" s="59" t="s">
        <v>136</v>
      </c>
      <c r="D31" s="59" t="s">
        <v>168</v>
      </c>
      <c r="E31" s="43" t="s">
        <v>137</v>
      </c>
      <c r="F31" s="43" t="s">
        <v>237</v>
      </c>
      <c r="G31" s="55" t="s">
        <v>161</v>
      </c>
      <c r="H31" s="55" t="s">
        <v>389</v>
      </c>
      <c r="I31" s="45" t="str">
        <f t="shared" si="0"/>
        <v>Valid</v>
      </c>
      <c r="J31" s="45" t="str">
        <f t="shared" si="1"/>
        <v>/api/v1/multiattribute/manage-POST</v>
      </c>
    </row>
    <row r="32" spans="1:10" x14ac:dyDescent="0.35">
      <c r="A32" s="41">
        <v>30</v>
      </c>
      <c r="B32" s="41" t="s">
        <v>278</v>
      </c>
      <c r="C32" s="59" t="s">
        <v>136</v>
      </c>
      <c r="D32" s="59" t="s">
        <v>168</v>
      </c>
      <c r="E32" s="43" t="s">
        <v>137</v>
      </c>
      <c r="F32" s="43" t="s">
        <v>239</v>
      </c>
      <c r="G32" s="55"/>
      <c r="H32" s="55" t="s">
        <v>389</v>
      </c>
      <c r="I32" s="45" t="str">
        <f t="shared" si="0"/>
        <v>Valid</v>
      </c>
      <c r="J32" s="45" t="str">
        <f t="shared" si="1"/>
        <v>/api/v1/multiattribute/manage-POST</v>
      </c>
    </row>
    <row r="33" spans="1:10" x14ac:dyDescent="0.35">
      <c r="A33" s="41">
        <v>31</v>
      </c>
      <c r="B33" s="41" t="s">
        <v>278</v>
      </c>
      <c r="C33" s="59" t="s">
        <v>136</v>
      </c>
      <c r="D33" s="59" t="s">
        <v>168</v>
      </c>
      <c r="E33" s="43" t="s">
        <v>137</v>
      </c>
      <c r="F33" s="43" t="s">
        <v>238</v>
      </c>
      <c r="G33" s="55"/>
      <c r="H33" s="55" t="s">
        <v>389</v>
      </c>
      <c r="I33" s="45" t="str">
        <f t="shared" si="0"/>
        <v>Valid</v>
      </c>
      <c r="J33" s="45" t="str">
        <f t="shared" si="1"/>
        <v>/api/v1/multiattribute/manage-POST</v>
      </c>
    </row>
    <row r="34" spans="1:10" x14ac:dyDescent="0.35">
      <c r="A34" s="41">
        <v>32</v>
      </c>
      <c r="B34" s="41" t="s">
        <v>138</v>
      </c>
      <c r="C34" s="59" t="s">
        <v>139</v>
      </c>
      <c r="D34" s="59" t="s">
        <v>166</v>
      </c>
      <c r="E34" s="43" t="s">
        <v>140</v>
      </c>
      <c r="F34" s="43" t="s">
        <v>429</v>
      </c>
      <c r="G34" s="55" t="s">
        <v>161</v>
      </c>
      <c r="H34" s="55" t="s">
        <v>388</v>
      </c>
      <c r="I34" s="45" t="str">
        <f t="shared" si="0"/>
        <v>Valid</v>
      </c>
      <c r="J34" s="45" t="str">
        <f t="shared" si="1"/>
        <v>/api/v1/audit/document-GET</v>
      </c>
    </row>
    <row r="35" spans="1:10" x14ac:dyDescent="0.35">
      <c r="A35" s="41">
        <v>33</v>
      </c>
      <c r="B35" s="41" t="s">
        <v>138</v>
      </c>
      <c r="C35" s="59" t="s">
        <v>139</v>
      </c>
      <c r="D35" s="59" t="s">
        <v>168</v>
      </c>
      <c r="E35" s="43" t="s">
        <v>142</v>
      </c>
      <c r="F35" s="43" t="s">
        <v>430</v>
      </c>
      <c r="G35" s="55" t="s">
        <v>161</v>
      </c>
      <c r="H35" s="55" t="s">
        <v>388</v>
      </c>
      <c r="I35" s="45" t="str">
        <f t="shared" ref="I35:I79" si="2" xml:space="preserve"> IF(ISNA( VLOOKUP(F35,lstFeatures,1,FALSE)),"Invalid","Valid")</f>
        <v>Valid</v>
      </c>
      <c r="J35" s="45" t="str">
        <f t="shared" si="1"/>
        <v>/api/v1/audit/document-POST</v>
      </c>
    </row>
    <row r="36" spans="1:10" x14ac:dyDescent="0.35">
      <c r="A36" s="41">
        <v>34</v>
      </c>
      <c r="B36" s="41" t="s">
        <v>138</v>
      </c>
      <c r="C36" s="59" t="s">
        <v>141</v>
      </c>
      <c r="D36" s="59" t="s">
        <v>166</v>
      </c>
      <c r="E36" s="43" t="s">
        <v>140</v>
      </c>
      <c r="F36" s="43" t="s">
        <v>431</v>
      </c>
      <c r="G36" s="55" t="s">
        <v>161</v>
      </c>
      <c r="H36" s="55" t="s">
        <v>388</v>
      </c>
      <c r="I36" s="45" t="str">
        <f t="shared" si="2"/>
        <v>Valid</v>
      </c>
      <c r="J36" s="45" t="str">
        <f t="shared" si="1"/>
        <v>/api/v1/audit/user-GET</v>
      </c>
    </row>
    <row r="37" spans="1:10" x14ac:dyDescent="0.35">
      <c r="A37" s="41" t="s">
        <v>503</v>
      </c>
      <c r="B37" s="41" t="s">
        <v>138</v>
      </c>
      <c r="C37" s="59" t="s">
        <v>504</v>
      </c>
      <c r="D37" s="59" t="s">
        <v>166</v>
      </c>
      <c r="E37" s="43" t="s">
        <v>505</v>
      </c>
      <c r="F37" s="43" t="s">
        <v>494</v>
      </c>
      <c r="G37" s="55" t="s">
        <v>502</v>
      </c>
      <c r="H37" s="55" t="s">
        <v>388</v>
      </c>
      <c r="I37" s="45" t="str">
        <f t="shared" si="2"/>
        <v>Valid</v>
      </c>
      <c r="J37" s="45" t="str">
        <f t="shared" si="1"/>
        <v>/api/v1/audit/variable-GET</v>
      </c>
    </row>
    <row r="38" spans="1:10" x14ac:dyDescent="0.35">
      <c r="A38" s="71" t="s">
        <v>565</v>
      </c>
      <c r="B38" s="41" t="s">
        <v>138</v>
      </c>
      <c r="C38" s="55" t="s">
        <v>563</v>
      </c>
      <c r="D38" s="55" t="s">
        <v>166</v>
      </c>
      <c r="E38" s="41" t="s">
        <v>564</v>
      </c>
      <c r="F38" s="41" t="s">
        <v>429</v>
      </c>
      <c r="G38" s="55" t="s">
        <v>572</v>
      </c>
      <c r="H38" s="55" t="s">
        <v>388</v>
      </c>
      <c r="I38" s="45" t="str">
        <f xml:space="preserve"> IF(ISNA( VLOOKUP(F38,lstFeatures,1,FALSE)),"Invalid","Valid")</f>
        <v>Valid</v>
      </c>
      <c r="J38" s="74" t="str">
        <f>C38&amp;"-"&amp;D38</f>
        <v>/api/v1/audit/document/currentuser-GET</v>
      </c>
    </row>
    <row r="39" spans="1:10" x14ac:dyDescent="0.35">
      <c r="A39" s="41">
        <v>35</v>
      </c>
      <c r="B39" s="41" t="s">
        <v>28</v>
      </c>
      <c r="C39" s="59" t="s">
        <v>29</v>
      </c>
      <c r="D39" s="59" t="s">
        <v>168</v>
      </c>
      <c r="E39" s="43" t="s">
        <v>30</v>
      </c>
      <c r="F39" s="43" t="s">
        <v>268</v>
      </c>
      <c r="G39" s="55" t="s">
        <v>159</v>
      </c>
      <c r="H39" s="55" t="s">
        <v>388</v>
      </c>
      <c r="I39" s="45" t="str">
        <f t="shared" si="2"/>
        <v>Valid</v>
      </c>
      <c r="J39" s="45" t="str">
        <f t="shared" si="1"/>
        <v>/api/v1/auth-POST</v>
      </c>
    </row>
    <row r="40" spans="1:10" x14ac:dyDescent="0.35">
      <c r="A40" s="41">
        <v>36</v>
      </c>
      <c r="B40" s="41" t="s">
        <v>36</v>
      </c>
      <c r="C40" s="59" t="s">
        <v>34</v>
      </c>
      <c r="D40" s="59" t="s">
        <v>166</v>
      </c>
      <c r="E40" s="43" t="s">
        <v>35</v>
      </c>
      <c r="F40" s="43" t="s">
        <v>232</v>
      </c>
      <c r="G40" s="55" t="s">
        <v>159</v>
      </c>
      <c r="H40" s="55" t="s">
        <v>388</v>
      </c>
      <c r="I40" s="45" t="str">
        <f t="shared" si="2"/>
        <v>Valid</v>
      </c>
      <c r="J40" s="45" t="str">
        <f t="shared" si="1"/>
        <v>/api/v1/document-GET</v>
      </c>
    </row>
    <row r="41" spans="1:10" x14ac:dyDescent="0.35">
      <c r="A41" s="41">
        <v>37</v>
      </c>
      <c r="B41" s="41" t="s">
        <v>36</v>
      </c>
      <c r="C41" s="59" t="s">
        <v>34</v>
      </c>
      <c r="D41" s="59" t="s">
        <v>168</v>
      </c>
      <c r="E41" s="43" t="s">
        <v>37</v>
      </c>
      <c r="F41" s="43" t="s">
        <v>307</v>
      </c>
      <c r="G41" s="55" t="s">
        <v>159</v>
      </c>
      <c r="H41" s="55" t="s">
        <v>388</v>
      </c>
      <c r="I41" s="45" t="str">
        <f t="shared" si="2"/>
        <v>Valid</v>
      </c>
      <c r="J41" s="45" t="str">
        <f t="shared" si="1"/>
        <v>/api/v1/document-POST</v>
      </c>
    </row>
    <row r="42" spans="1:10" x14ac:dyDescent="0.35">
      <c r="A42" s="41">
        <v>38</v>
      </c>
      <c r="B42" s="41" t="s">
        <v>36</v>
      </c>
      <c r="C42" s="59" t="s">
        <v>38</v>
      </c>
      <c r="D42" s="59" t="s">
        <v>167</v>
      </c>
      <c r="E42" s="43" t="s">
        <v>39</v>
      </c>
      <c r="F42" s="43" t="s">
        <v>309</v>
      </c>
      <c r="G42" s="55" t="s">
        <v>159</v>
      </c>
      <c r="H42" s="55" t="s">
        <v>388</v>
      </c>
      <c r="I42" s="45" t="str">
        <f t="shared" si="2"/>
        <v>Valid</v>
      </c>
      <c r="J42" s="45" t="str">
        <f t="shared" si="1"/>
        <v>/api/v1/document/{docId}-DELETE</v>
      </c>
    </row>
    <row r="43" spans="1:10" x14ac:dyDescent="0.35">
      <c r="A43" s="41">
        <v>39</v>
      </c>
      <c r="B43" s="41" t="s">
        <v>36</v>
      </c>
      <c r="C43" s="59" t="s">
        <v>40</v>
      </c>
      <c r="D43" s="59" t="s">
        <v>168</v>
      </c>
      <c r="E43" s="43" t="s">
        <v>41</v>
      </c>
      <c r="F43" s="61" t="s">
        <v>432</v>
      </c>
      <c r="G43" s="55" t="s">
        <v>159</v>
      </c>
      <c r="H43" s="55" t="s">
        <v>388</v>
      </c>
      <c r="I43" s="45" t="str">
        <f t="shared" si="2"/>
        <v>Valid</v>
      </c>
      <c r="J43" s="45" t="str">
        <f t="shared" si="1"/>
        <v>/api/v1/document/case-POST</v>
      </c>
    </row>
    <row r="44" spans="1:10" x14ac:dyDescent="0.35">
      <c r="A44" s="41">
        <v>40</v>
      </c>
      <c r="B44" s="41" t="s">
        <v>36</v>
      </c>
      <c r="C44" s="62" t="s">
        <v>42</v>
      </c>
      <c r="D44" s="59" t="s">
        <v>168</v>
      </c>
      <c r="E44" s="43" t="s">
        <v>43</v>
      </c>
      <c r="F44" s="60" t="s">
        <v>311</v>
      </c>
      <c r="G44" s="55" t="s">
        <v>159</v>
      </c>
      <c r="H44" s="55" t="s">
        <v>388</v>
      </c>
      <c r="I44" s="45" t="str">
        <f t="shared" si="2"/>
        <v>Valid</v>
      </c>
      <c r="J44" s="45" t="str">
        <f t="shared" si="1"/>
        <v>/api/v1/document/eventType-POST</v>
      </c>
    </row>
    <row r="45" spans="1:10" x14ac:dyDescent="0.35">
      <c r="A45" s="41">
        <v>41</v>
      </c>
      <c r="B45" s="41" t="s">
        <v>36</v>
      </c>
      <c r="C45" s="59" t="s">
        <v>44</v>
      </c>
      <c r="D45" s="59" t="s">
        <v>168</v>
      </c>
      <c r="E45" s="43" t="s">
        <v>45</v>
      </c>
      <c r="F45" s="60" t="s">
        <v>311</v>
      </c>
      <c r="G45" s="55" t="s">
        <v>159</v>
      </c>
      <c r="H45" s="55" t="s">
        <v>388</v>
      </c>
      <c r="I45" s="45" t="str">
        <f t="shared" si="2"/>
        <v>Valid</v>
      </c>
      <c r="J45" s="45" t="str">
        <f t="shared" si="1"/>
        <v>/api/v1/document/taskstatus-POST</v>
      </c>
    </row>
    <row r="46" spans="1:10" x14ac:dyDescent="0.35">
      <c r="A46" s="41">
        <v>42</v>
      </c>
      <c r="B46" s="41" t="s">
        <v>36</v>
      </c>
      <c r="C46" s="59" t="s">
        <v>46</v>
      </c>
      <c r="D46" s="59" t="s">
        <v>168</v>
      </c>
      <c r="E46" s="43" t="s">
        <v>47</v>
      </c>
      <c r="F46" s="64" t="s">
        <v>385</v>
      </c>
      <c r="G46" s="55" t="s">
        <v>159</v>
      </c>
      <c r="H46" s="55" t="s">
        <v>389</v>
      </c>
      <c r="I46" s="45" t="str">
        <f t="shared" si="2"/>
        <v>Valid</v>
      </c>
      <c r="J46" s="45" t="str">
        <f t="shared" si="1"/>
        <v>/api/v1/document/user-POST</v>
      </c>
    </row>
    <row r="47" spans="1:10" x14ac:dyDescent="0.35">
      <c r="A47" s="41">
        <v>43</v>
      </c>
      <c r="B47" s="41" t="s">
        <v>36</v>
      </c>
      <c r="C47" s="59" t="s">
        <v>46</v>
      </c>
      <c r="D47" s="59" t="s">
        <v>168</v>
      </c>
      <c r="E47" s="43" t="s">
        <v>47</v>
      </c>
      <c r="F47" s="64" t="s">
        <v>386</v>
      </c>
      <c r="G47" s="55"/>
      <c r="H47" s="55" t="s">
        <v>389</v>
      </c>
      <c r="I47" s="45" t="str">
        <f t="shared" si="2"/>
        <v>Valid</v>
      </c>
      <c r="J47" s="45" t="str">
        <f t="shared" si="1"/>
        <v>/api/v1/document/user-POST</v>
      </c>
    </row>
    <row r="48" spans="1:10" x14ac:dyDescent="0.35">
      <c r="A48" s="41">
        <v>44</v>
      </c>
      <c r="B48" s="41" t="s">
        <v>48</v>
      </c>
      <c r="C48" s="59" t="s">
        <v>49</v>
      </c>
      <c r="D48" s="59" t="s">
        <v>166</v>
      </c>
      <c r="E48" s="43" t="s">
        <v>163</v>
      </c>
      <c r="F48" s="43" t="s">
        <v>428</v>
      </c>
      <c r="G48" s="55" t="s">
        <v>164</v>
      </c>
      <c r="H48" s="55" t="s">
        <v>388</v>
      </c>
      <c r="I48" s="45" t="str">
        <f t="shared" si="2"/>
        <v>Valid</v>
      </c>
      <c r="J48" s="45" t="str">
        <f t="shared" si="1"/>
        <v>/api/v1/email-GET</v>
      </c>
    </row>
    <row r="49" spans="1:11" x14ac:dyDescent="0.35">
      <c r="A49" s="41">
        <v>45</v>
      </c>
      <c r="B49" s="41" t="s">
        <v>48</v>
      </c>
      <c r="C49" s="59" t="s">
        <v>49</v>
      </c>
      <c r="D49" s="59" t="s">
        <v>170</v>
      </c>
      <c r="E49" s="43" t="s">
        <v>147</v>
      </c>
      <c r="F49" s="43" t="s">
        <v>433</v>
      </c>
      <c r="G49" s="55" t="s">
        <v>161</v>
      </c>
      <c r="H49" s="55" t="s">
        <v>388</v>
      </c>
      <c r="I49" s="45" t="str">
        <f t="shared" si="2"/>
        <v>Valid</v>
      </c>
      <c r="J49" s="45" t="str">
        <f t="shared" si="1"/>
        <v>/api/v1/email-PUT</v>
      </c>
    </row>
    <row r="50" spans="1:11" x14ac:dyDescent="0.35">
      <c r="A50" s="41">
        <v>46</v>
      </c>
      <c r="B50" s="41" t="s">
        <v>48</v>
      </c>
      <c r="C50" s="59" t="s">
        <v>49</v>
      </c>
      <c r="D50" s="59" t="s">
        <v>168</v>
      </c>
      <c r="E50" s="43" t="s">
        <v>143</v>
      </c>
      <c r="F50" s="43" t="s">
        <v>434</v>
      </c>
      <c r="G50" s="55" t="s">
        <v>161</v>
      </c>
      <c r="H50" s="55" t="s">
        <v>388</v>
      </c>
      <c r="I50" s="45" t="str">
        <f t="shared" si="2"/>
        <v>Valid</v>
      </c>
      <c r="J50" s="45" t="str">
        <f t="shared" si="1"/>
        <v>/api/v1/email-POST</v>
      </c>
    </row>
    <row r="51" spans="1:11" x14ac:dyDescent="0.35">
      <c r="A51" s="41">
        <v>47</v>
      </c>
      <c r="B51" s="41" t="s">
        <v>48</v>
      </c>
      <c r="C51" s="59" t="s">
        <v>50</v>
      </c>
      <c r="D51" s="59" t="s">
        <v>167</v>
      </c>
      <c r="E51" s="43" t="s">
        <v>146</v>
      </c>
      <c r="F51" s="43" t="s">
        <v>435</v>
      </c>
      <c r="G51" s="55" t="s">
        <v>164</v>
      </c>
      <c r="H51" s="55" t="s">
        <v>388</v>
      </c>
      <c r="I51" s="45" t="str">
        <f t="shared" si="2"/>
        <v>Valid</v>
      </c>
      <c r="J51" s="45" t="str">
        <f t="shared" si="1"/>
        <v>/api/v1/email/{emailId}-DELETE</v>
      </c>
    </row>
    <row r="52" spans="1:11" ht="25" x14ac:dyDescent="0.35">
      <c r="A52" s="41">
        <v>48</v>
      </c>
      <c r="B52" s="41" t="s">
        <v>48</v>
      </c>
      <c r="C52" s="59" t="s">
        <v>51</v>
      </c>
      <c r="D52" s="59" t="s">
        <v>166</v>
      </c>
      <c r="E52" s="43" t="s">
        <v>144</v>
      </c>
      <c r="F52" s="43" t="s">
        <v>428</v>
      </c>
      <c r="G52" s="55" t="s">
        <v>164</v>
      </c>
      <c r="H52" s="55" t="s">
        <v>388</v>
      </c>
      <c r="I52" s="45" t="str">
        <f t="shared" si="2"/>
        <v>Valid</v>
      </c>
      <c r="J52" s="45" t="str">
        <f t="shared" si="1"/>
        <v>/api/v1/email/draft-GET</v>
      </c>
    </row>
    <row r="53" spans="1:11" x14ac:dyDescent="0.35">
      <c r="A53" s="41">
        <v>49</v>
      </c>
      <c r="B53" s="41" t="s">
        <v>48</v>
      </c>
      <c r="C53" s="59" t="s">
        <v>51</v>
      </c>
      <c r="D53" s="59" t="s">
        <v>168</v>
      </c>
      <c r="E53" s="43" t="s">
        <v>145</v>
      </c>
      <c r="F53" s="43" t="s">
        <v>434</v>
      </c>
      <c r="G53" s="55" t="s">
        <v>161</v>
      </c>
      <c r="H53" s="55" t="s">
        <v>388</v>
      </c>
      <c r="I53" s="45" t="str">
        <f t="shared" si="2"/>
        <v>Valid</v>
      </c>
      <c r="J53" s="45" t="str">
        <f t="shared" si="1"/>
        <v>/api/v1/email/draft-POST</v>
      </c>
    </row>
    <row r="54" spans="1:11" x14ac:dyDescent="0.35">
      <c r="A54" s="41">
        <v>50</v>
      </c>
      <c r="B54" s="41" t="s">
        <v>48</v>
      </c>
      <c r="C54" s="59" t="s">
        <v>56</v>
      </c>
      <c r="D54" s="59" t="s">
        <v>166</v>
      </c>
      <c r="E54" s="43" t="s">
        <v>57</v>
      </c>
      <c r="F54" s="43" t="s">
        <v>436</v>
      </c>
      <c r="G54" s="55" t="s">
        <v>159</v>
      </c>
      <c r="H54" s="55" t="s">
        <v>388</v>
      </c>
      <c r="I54" s="45" t="str">
        <f t="shared" si="2"/>
        <v>Valid</v>
      </c>
      <c r="J54" s="45" t="str">
        <f t="shared" si="1"/>
        <v>/api/v1/email/taskstatus-GET</v>
      </c>
    </row>
    <row r="55" spans="1:11" x14ac:dyDescent="0.35">
      <c r="A55" s="41">
        <v>51</v>
      </c>
      <c r="B55" s="41" t="s">
        <v>62</v>
      </c>
      <c r="C55" s="59" t="s">
        <v>60</v>
      </c>
      <c r="D55" s="59" t="s">
        <v>166</v>
      </c>
      <c r="E55" s="43" t="s">
        <v>61</v>
      </c>
      <c r="F55" s="43" t="s">
        <v>228</v>
      </c>
      <c r="G55" s="55" t="s">
        <v>159</v>
      </c>
      <c r="H55" s="55" t="s">
        <v>388</v>
      </c>
      <c r="I55" s="45" t="str">
        <f t="shared" si="2"/>
        <v>Valid</v>
      </c>
      <c r="J55" s="45" t="str">
        <f t="shared" si="1"/>
        <v>/api/v1/queue/stats-GET</v>
      </c>
    </row>
    <row r="56" spans="1:11" x14ac:dyDescent="0.35">
      <c r="A56" s="41">
        <v>52</v>
      </c>
      <c r="B56" s="41" t="s">
        <v>62</v>
      </c>
      <c r="C56" s="59" t="s">
        <v>148</v>
      </c>
      <c r="D56" s="59" t="s">
        <v>166</v>
      </c>
      <c r="E56" s="43" t="s">
        <v>151</v>
      </c>
      <c r="F56" s="43" t="s">
        <v>228</v>
      </c>
      <c r="G56" s="55" t="s">
        <v>161</v>
      </c>
      <c r="H56" s="55" t="s">
        <v>388</v>
      </c>
      <c r="I56" s="45" t="str">
        <f t="shared" si="2"/>
        <v>Valid</v>
      </c>
      <c r="J56" s="45" t="str">
        <f t="shared" si="1"/>
        <v>/api/v1/queue-GET</v>
      </c>
    </row>
    <row r="57" spans="1:11" x14ac:dyDescent="0.35">
      <c r="A57" s="41">
        <v>53</v>
      </c>
      <c r="B57" s="41" t="s">
        <v>62</v>
      </c>
      <c r="C57" s="59" t="s">
        <v>149</v>
      </c>
      <c r="D57" s="59" t="s">
        <v>166</v>
      </c>
      <c r="E57" s="43" t="s">
        <v>150</v>
      </c>
      <c r="F57" s="60" t="s">
        <v>386</v>
      </c>
      <c r="G57" s="55" t="s">
        <v>161</v>
      </c>
      <c r="H57" s="55" t="s">
        <v>388</v>
      </c>
      <c r="I57" s="45" t="str">
        <f t="shared" si="2"/>
        <v>Valid</v>
      </c>
      <c r="J57" s="45" t="str">
        <f t="shared" si="1"/>
        <v>/api/v1/queue/users-GET</v>
      </c>
    </row>
    <row r="58" spans="1:11" x14ac:dyDescent="0.35">
      <c r="A58" s="41" t="s">
        <v>508</v>
      </c>
      <c r="B58" s="41" t="s">
        <v>62</v>
      </c>
      <c r="C58" s="59" t="s">
        <v>148</v>
      </c>
      <c r="D58" s="59" t="s">
        <v>168</v>
      </c>
      <c r="E58" s="43" t="s">
        <v>509</v>
      </c>
      <c r="F58" s="60" t="s">
        <v>510</v>
      </c>
      <c r="G58" s="55" t="s">
        <v>161</v>
      </c>
      <c r="H58" s="55" t="s">
        <v>388</v>
      </c>
      <c r="I58" s="45" t="str">
        <f t="shared" si="2"/>
        <v>Valid</v>
      </c>
      <c r="J58" s="45" t="str">
        <f t="shared" si="1"/>
        <v>/api/v1/queue-POST</v>
      </c>
    </row>
    <row r="59" spans="1:11" x14ac:dyDescent="0.35">
      <c r="A59" s="41" t="s">
        <v>574</v>
      </c>
      <c r="B59" s="41" t="s">
        <v>62</v>
      </c>
      <c r="C59" s="59" t="s">
        <v>575</v>
      </c>
      <c r="D59" s="59" t="s">
        <v>170</v>
      </c>
      <c r="E59" s="43" t="s">
        <v>576</v>
      </c>
      <c r="F59" s="75" t="s">
        <v>584</v>
      </c>
      <c r="G59" s="55" t="s">
        <v>161</v>
      </c>
      <c r="H59" s="55" t="s">
        <v>388</v>
      </c>
      <c r="I59" s="45" t="str">
        <f t="shared" si="2"/>
        <v>Valid</v>
      </c>
      <c r="J59" s="45" t="str">
        <f t="shared" si="1"/>
        <v>/api/v1/queue/currentuser-PUT</v>
      </c>
    </row>
    <row r="60" spans="1:11" x14ac:dyDescent="0.35">
      <c r="A60" s="41" t="s">
        <v>599</v>
      </c>
      <c r="B60" s="41" t="s">
        <v>62</v>
      </c>
      <c r="C60" s="59" t="s">
        <v>149</v>
      </c>
      <c r="D60" s="59" t="s">
        <v>166</v>
      </c>
      <c r="E60" s="43" t="s">
        <v>150</v>
      </c>
      <c r="F60" s="75" t="s">
        <v>627</v>
      </c>
      <c r="G60" s="55" t="s">
        <v>161</v>
      </c>
      <c r="H60" s="55" t="s">
        <v>388</v>
      </c>
      <c r="I60" s="45" t="str">
        <f t="shared" si="2"/>
        <v>Valid</v>
      </c>
      <c r="J60" s="45" t="str">
        <f t="shared" si="1"/>
        <v>/api/v1/queue/users-GET</v>
      </c>
      <c r="K60" t="s">
        <v>630</v>
      </c>
    </row>
    <row r="61" spans="1:11" x14ac:dyDescent="0.35">
      <c r="A61" s="41" t="s">
        <v>600</v>
      </c>
      <c r="B61" s="41" t="s">
        <v>62</v>
      </c>
      <c r="C61" s="59" t="s">
        <v>149</v>
      </c>
      <c r="D61" s="59" t="s">
        <v>166</v>
      </c>
      <c r="E61" s="43" t="s">
        <v>150</v>
      </c>
      <c r="F61" s="75" t="s">
        <v>629</v>
      </c>
      <c r="G61" s="55" t="s">
        <v>161</v>
      </c>
      <c r="H61" s="55" t="s">
        <v>388</v>
      </c>
      <c r="I61" s="45" t="str">
        <f t="shared" si="2"/>
        <v>Valid</v>
      </c>
      <c r="J61" s="45" t="str">
        <f t="shared" si="1"/>
        <v>/api/v1/queue/users-GET</v>
      </c>
      <c r="K61" t="s">
        <v>630</v>
      </c>
    </row>
    <row r="62" spans="1:11" x14ac:dyDescent="0.35">
      <c r="A62" s="41" t="s">
        <v>585</v>
      </c>
      <c r="B62" s="41" t="s">
        <v>62</v>
      </c>
      <c r="C62" s="59" t="s">
        <v>575</v>
      </c>
      <c r="D62" s="59" t="s">
        <v>166</v>
      </c>
      <c r="E62" s="43" t="s">
        <v>586</v>
      </c>
      <c r="F62" s="75" t="s">
        <v>587</v>
      </c>
      <c r="G62" s="55" t="s">
        <v>161</v>
      </c>
      <c r="H62" s="55" t="s">
        <v>388</v>
      </c>
      <c r="I62" s="45" t="str">
        <f t="shared" si="2"/>
        <v>Valid</v>
      </c>
      <c r="J62" s="45" t="str">
        <f t="shared" si="1"/>
        <v>/api/v1/queue/currentuser-GET</v>
      </c>
    </row>
    <row r="63" spans="1:11" x14ac:dyDescent="0.35">
      <c r="A63" s="41">
        <v>54</v>
      </c>
      <c r="B63" s="41" t="s">
        <v>63</v>
      </c>
      <c r="C63" s="59" t="s">
        <v>64</v>
      </c>
      <c r="D63" s="59" t="s">
        <v>168</v>
      </c>
      <c r="E63" s="43" t="s">
        <v>65</v>
      </c>
      <c r="F63" s="43" t="s">
        <v>272</v>
      </c>
      <c r="G63" s="55" t="s">
        <v>159</v>
      </c>
      <c r="H63" s="55" t="s">
        <v>388</v>
      </c>
      <c r="I63" s="45" t="str">
        <f t="shared" si="2"/>
        <v>Valid</v>
      </c>
      <c r="J63" s="45" t="str">
        <f t="shared" si="1"/>
        <v>/api/v1/role-POST</v>
      </c>
    </row>
    <row r="64" spans="1:11" x14ac:dyDescent="0.35">
      <c r="A64" s="41">
        <v>55</v>
      </c>
      <c r="B64" s="41" t="s">
        <v>63</v>
      </c>
      <c r="C64" s="59" t="s">
        <v>64</v>
      </c>
      <c r="D64" s="59" t="s">
        <v>167</v>
      </c>
      <c r="E64" s="43" t="s">
        <v>66</v>
      </c>
      <c r="F64" s="43" t="s">
        <v>290</v>
      </c>
      <c r="G64" s="55" t="s">
        <v>159</v>
      </c>
      <c r="H64" s="55" t="s">
        <v>388</v>
      </c>
      <c r="I64" s="45" t="str">
        <f t="shared" si="2"/>
        <v>Valid</v>
      </c>
      <c r="J64" s="45" t="str">
        <f t="shared" si="1"/>
        <v>/api/v1/role-DELETE</v>
      </c>
    </row>
    <row r="65" spans="1:11" x14ac:dyDescent="0.35">
      <c r="A65" s="41">
        <v>56</v>
      </c>
      <c r="B65" s="41" t="s">
        <v>67</v>
      </c>
      <c r="C65" s="59" t="s">
        <v>68</v>
      </c>
      <c r="D65" s="59" t="s">
        <v>166</v>
      </c>
      <c r="E65" s="43" t="s">
        <v>69</v>
      </c>
      <c r="F65" s="43" t="s">
        <v>268</v>
      </c>
      <c r="G65" s="55" t="s">
        <v>159</v>
      </c>
      <c r="H65" s="55" t="s">
        <v>388</v>
      </c>
      <c r="I65" s="45" t="str">
        <f t="shared" si="2"/>
        <v>Valid</v>
      </c>
      <c r="J65" s="45" t="str">
        <f t="shared" si="1"/>
        <v>/api/v1/session-GET</v>
      </c>
    </row>
    <row r="66" spans="1:11" x14ac:dyDescent="0.35">
      <c r="A66" s="41">
        <v>57</v>
      </c>
      <c r="B66" s="41" t="s">
        <v>67</v>
      </c>
      <c r="C66" s="59" t="s">
        <v>152</v>
      </c>
      <c r="D66" s="59" t="s">
        <v>170</v>
      </c>
      <c r="E66" s="43" t="s">
        <v>153</v>
      </c>
      <c r="F66" s="43" t="s">
        <v>269</v>
      </c>
      <c r="G66" s="55" t="s">
        <v>161</v>
      </c>
      <c r="H66" s="55" t="s">
        <v>388</v>
      </c>
      <c r="I66" s="45" t="str">
        <f t="shared" si="2"/>
        <v>Valid</v>
      </c>
      <c r="J66" s="45" t="str">
        <f t="shared" si="1"/>
        <v>/api/v1/session/password-PUT</v>
      </c>
    </row>
    <row r="67" spans="1:11" x14ac:dyDescent="0.35">
      <c r="A67" s="41">
        <v>58</v>
      </c>
      <c r="B67" s="41" t="s">
        <v>70</v>
      </c>
      <c r="C67" s="59" t="s">
        <v>154</v>
      </c>
      <c r="D67" s="59" t="s">
        <v>166</v>
      </c>
      <c r="E67" s="43" t="s">
        <v>71</v>
      </c>
      <c r="F67" s="43" t="s">
        <v>428</v>
      </c>
      <c r="G67" s="55" t="s">
        <v>162</v>
      </c>
      <c r="H67" s="55" t="s">
        <v>388</v>
      </c>
      <c r="I67" s="45" t="str">
        <f t="shared" si="2"/>
        <v>Valid</v>
      </c>
      <c r="J67" s="45" t="str">
        <f t="shared" si="1"/>
        <v>/api/v1/template-GET</v>
      </c>
    </row>
    <row r="68" spans="1:11" x14ac:dyDescent="0.35">
      <c r="A68" s="41">
        <v>59</v>
      </c>
      <c r="B68" s="41" t="s">
        <v>70</v>
      </c>
      <c r="C68" s="59" t="s">
        <v>155</v>
      </c>
      <c r="D68" s="59" t="s">
        <v>166</v>
      </c>
      <c r="E68" s="43" t="s">
        <v>156</v>
      </c>
      <c r="F68" s="43" t="s">
        <v>428</v>
      </c>
      <c r="G68" s="55" t="s">
        <v>161</v>
      </c>
      <c r="H68" s="55" t="s">
        <v>388</v>
      </c>
      <c r="I68" s="45" t="str">
        <f t="shared" si="2"/>
        <v>Valid</v>
      </c>
      <c r="J68" s="45" t="str">
        <f t="shared" si="1"/>
        <v>/api/v1/template/flattened-GET</v>
      </c>
    </row>
    <row r="69" spans="1:11" x14ac:dyDescent="0.35">
      <c r="A69" s="41">
        <v>60</v>
      </c>
      <c r="B69" s="63" t="s">
        <v>76</v>
      </c>
      <c r="C69" s="48" t="s">
        <v>77</v>
      </c>
      <c r="D69" s="59" t="s">
        <v>170</v>
      </c>
      <c r="E69" s="43" t="s">
        <v>79</v>
      </c>
      <c r="F69" s="43" t="s">
        <v>272</v>
      </c>
      <c r="G69" s="55" t="s">
        <v>159</v>
      </c>
      <c r="H69" s="55" t="s">
        <v>388</v>
      </c>
      <c r="I69" s="45" t="str">
        <f t="shared" si="2"/>
        <v>Valid</v>
      </c>
      <c r="J69" s="45" t="str">
        <f t="shared" si="1"/>
        <v>/api/v1/user-PUT</v>
      </c>
    </row>
    <row r="70" spans="1:11" x14ac:dyDescent="0.35">
      <c r="A70" s="41">
        <v>61</v>
      </c>
      <c r="B70" s="63" t="s">
        <v>76</v>
      </c>
      <c r="C70" s="59" t="s">
        <v>157</v>
      </c>
      <c r="D70" s="59" t="s">
        <v>168</v>
      </c>
      <c r="E70" s="43" t="s">
        <v>78</v>
      </c>
      <c r="F70" s="43" t="s">
        <v>269</v>
      </c>
      <c r="G70" s="55" t="s">
        <v>161</v>
      </c>
      <c r="H70" s="55" t="s">
        <v>388</v>
      </c>
      <c r="I70" s="45" t="str">
        <f t="shared" si="2"/>
        <v>Valid</v>
      </c>
      <c r="J70" s="45" t="str">
        <f t="shared" si="1"/>
        <v>/api/v1/user/register-POST</v>
      </c>
    </row>
    <row r="71" spans="1:11" x14ac:dyDescent="0.35">
      <c r="A71" s="41">
        <v>62</v>
      </c>
      <c r="B71" s="63" t="s">
        <v>76</v>
      </c>
      <c r="C71" s="59" t="s">
        <v>77</v>
      </c>
      <c r="D71" s="59" t="s">
        <v>166</v>
      </c>
      <c r="E71" s="43" t="s">
        <v>80</v>
      </c>
      <c r="F71" s="43" t="s">
        <v>341</v>
      </c>
      <c r="G71" s="55" t="s">
        <v>162</v>
      </c>
      <c r="H71" s="55" t="s">
        <v>388</v>
      </c>
      <c r="I71" s="45" t="str">
        <f t="shared" si="2"/>
        <v>Valid</v>
      </c>
      <c r="J71" s="45" t="str">
        <f t="shared" si="1"/>
        <v>/api/v1/user-GET</v>
      </c>
    </row>
    <row r="72" spans="1:11" x14ac:dyDescent="0.35">
      <c r="A72" s="41" t="s">
        <v>566</v>
      </c>
      <c r="B72" s="63" t="s">
        <v>76</v>
      </c>
      <c r="C72" s="59" t="s">
        <v>567</v>
      </c>
      <c r="D72" s="59" t="s">
        <v>166</v>
      </c>
      <c r="E72" s="43" t="s">
        <v>568</v>
      </c>
      <c r="F72" s="43" t="s">
        <v>571</v>
      </c>
      <c r="G72" s="55" t="s">
        <v>572</v>
      </c>
      <c r="H72" s="55" t="s">
        <v>388</v>
      </c>
      <c r="I72" s="45" t="str">
        <f t="shared" si="2"/>
        <v>Valid</v>
      </c>
      <c r="J72" s="45" t="str">
        <f t="shared" si="1"/>
        <v>/api/v1/user/team/currentuser-GET</v>
      </c>
    </row>
    <row r="73" spans="1:11" x14ac:dyDescent="0.35">
      <c r="A73" s="41">
        <v>63</v>
      </c>
      <c r="B73" s="63" t="s">
        <v>76</v>
      </c>
      <c r="C73" s="59" t="s">
        <v>81</v>
      </c>
      <c r="D73" s="59" t="s">
        <v>166</v>
      </c>
      <c r="E73" s="43" t="s">
        <v>82</v>
      </c>
      <c r="F73" s="61" t="s">
        <v>273</v>
      </c>
      <c r="G73" s="55" t="s">
        <v>159</v>
      </c>
      <c r="H73" s="55" t="s">
        <v>388</v>
      </c>
      <c r="I73" s="45" t="str">
        <f t="shared" si="2"/>
        <v>Valid</v>
      </c>
      <c r="J73" s="45" t="str">
        <f t="shared" si="1"/>
        <v>/api/v1/user/queue-GET</v>
      </c>
    </row>
    <row r="74" spans="1:11" x14ac:dyDescent="0.35">
      <c r="A74" s="41">
        <v>64</v>
      </c>
      <c r="B74" s="63" t="s">
        <v>76</v>
      </c>
      <c r="C74" s="59" t="s">
        <v>81</v>
      </c>
      <c r="D74" s="59" t="s">
        <v>168</v>
      </c>
      <c r="E74" s="43" t="s">
        <v>83</v>
      </c>
      <c r="F74" s="61" t="s">
        <v>272</v>
      </c>
      <c r="G74" s="55" t="s">
        <v>159</v>
      </c>
      <c r="H74" s="55" t="s">
        <v>388</v>
      </c>
      <c r="I74" s="45" t="str">
        <f t="shared" si="2"/>
        <v>Valid</v>
      </c>
      <c r="J74" s="45" t="str">
        <f t="shared" si="1"/>
        <v>/api/v1/user/queue-POST</v>
      </c>
    </row>
    <row r="75" spans="1:11" x14ac:dyDescent="0.35">
      <c r="A75" s="41">
        <v>65</v>
      </c>
      <c r="B75" s="63" t="s">
        <v>76</v>
      </c>
      <c r="C75" s="59" t="s">
        <v>84</v>
      </c>
      <c r="D75" s="59" t="s">
        <v>167</v>
      </c>
      <c r="E75" s="43" t="s">
        <v>85</v>
      </c>
      <c r="F75" s="61" t="s">
        <v>272</v>
      </c>
      <c r="G75" s="55" t="s">
        <v>159</v>
      </c>
      <c r="H75" s="55" t="s">
        <v>388</v>
      </c>
      <c r="I75" s="45" t="str">
        <f t="shared" si="2"/>
        <v>Valid</v>
      </c>
      <c r="J75" s="45" t="str">
        <f t="shared" si="1"/>
        <v>/api/v1/user/queue/{appUserQueueRelId}-DELETE</v>
      </c>
    </row>
    <row r="76" spans="1:11" x14ac:dyDescent="0.35">
      <c r="A76" s="41">
        <v>66</v>
      </c>
      <c r="B76" s="41" t="s">
        <v>86</v>
      </c>
      <c r="C76" s="59" t="s">
        <v>87</v>
      </c>
      <c r="D76" s="59" t="s">
        <v>166</v>
      </c>
      <c r="E76" s="43" t="s">
        <v>88</v>
      </c>
      <c r="F76" s="43" t="s">
        <v>268</v>
      </c>
      <c r="G76" s="55" t="s">
        <v>159</v>
      </c>
      <c r="H76" s="55" t="s">
        <v>388</v>
      </c>
      <c r="I76" s="45" t="str">
        <f t="shared" si="2"/>
        <v>Valid</v>
      </c>
      <c r="J76" s="45" t="str">
        <f t="shared" ref="J76:J81" si="3">C76&amp;"-"&amp;D76</f>
        <v>/api/v1/val-GET</v>
      </c>
    </row>
    <row r="77" spans="1:11" x14ac:dyDescent="0.35">
      <c r="A77" s="71">
        <v>67</v>
      </c>
      <c r="B77" s="41" t="s">
        <v>497</v>
      </c>
      <c r="C77" s="59" t="s">
        <v>499</v>
      </c>
      <c r="D77" s="55" t="s">
        <v>166</v>
      </c>
      <c r="E77" s="67" t="s">
        <v>500</v>
      </c>
      <c r="F77" s="41" t="s">
        <v>487</v>
      </c>
      <c r="G77" s="55" t="s">
        <v>502</v>
      </c>
      <c r="H77" s="55" t="s">
        <v>388</v>
      </c>
      <c r="I77" s="45" t="str">
        <f t="shared" si="2"/>
        <v>Valid</v>
      </c>
      <c r="J77" s="45" t="str">
        <f t="shared" si="3"/>
        <v>/api/v1/variable/{appvariablekey}-GET</v>
      </c>
    </row>
    <row r="78" spans="1:11" x14ac:dyDescent="0.35">
      <c r="A78" s="71">
        <v>68</v>
      </c>
      <c r="B78" s="41" t="s">
        <v>497</v>
      </c>
      <c r="C78" s="59" t="s">
        <v>498</v>
      </c>
      <c r="D78" s="55" t="s">
        <v>168</v>
      </c>
      <c r="E78" s="41" t="s">
        <v>501</v>
      </c>
      <c r="F78" s="41" t="s">
        <v>489</v>
      </c>
      <c r="G78" s="55" t="s">
        <v>502</v>
      </c>
      <c r="H78" s="55" t="s">
        <v>388</v>
      </c>
      <c r="I78" s="45" t="str">
        <f t="shared" si="2"/>
        <v>Valid</v>
      </c>
      <c r="J78" s="45" t="str">
        <f t="shared" si="3"/>
        <v>/api/v1/variable-POST</v>
      </c>
    </row>
    <row r="79" spans="1:11" x14ac:dyDescent="0.35">
      <c r="A79" s="41">
        <v>69</v>
      </c>
      <c r="B79" s="41" t="s">
        <v>3</v>
      </c>
      <c r="C79" s="55" t="s">
        <v>4</v>
      </c>
      <c r="D79" s="55" t="s">
        <v>168</v>
      </c>
      <c r="E79" s="56" t="s">
        <v>8</v>
      </c>
      <c r="F79" s="56" t="s">
        <v>624</v>
      </c>
      <c r="G79" s="55" t="s">
        <v>161</v>
      </c>
      <c r="H79" s="55" t="s">
        <v>388</v>
      </c>
      <c r="I79" s="45" t="str">
        <f t="shared" si="2"/>
        <v>Valid</v>
      </c>
      <c r="J79" s="45" t="str">
        <f t="shared" si="3"/>
        <v>/api/v1/action-POST</v>
      </c>
      <c r="K79" t="s">
        <v>630</v>
      </c>
    </row>
    <row r="80" spans="1:11" x14ac:dyDescent="0.35">
      <c r="A80" s="41">
        <v>70</v>
      </c>
      <c r="B80" s="41" t="s">
        <v>3</v>
      </c>
      <c r="C80" s="55" t="s">
        <v>4</v>
      </c>
      <c r="D80" s="55" t="s">
        <v>168</v>
      </c>
      <c r="E80" s="56" t="s">
        <v>8</v>
      </c>
      <c r="F80" s="56" t="s">
        <v>625</v>
      </c>
      <c r="G80" s="55" t="s">
        <v>161</v>
      </c>
      <c r="H80" s="55" t="s">
        <v>388</v>
      </c>
      <c r="I80" s="45" t="str">
        <f xml:space="preserve"> IF(ISNA( VLOOKUP(F80,lstFeatures,1,FALSE)),"Invalid","Valid")</f>
        <v>Valid</v>
      </c>
      <c r="J80" s="45" t="str">
        <f t="shared" si="3"/>
        <v>/api/v1/action-POST</v>
      </c>
      <c r="K80" t="s">
        <v>630</v>
      </c>
    </row>
    <row r="81" spans="1:11" x14ac:dyDescent="0.35">
      <c r="A81" s="41">
        <v>71</v>
      </c>
      <c r="B81" s="41" t="s">
        <v>3</v>
      </c>
      <c r="C81" s="55" t="s">
        <v>4</v>
      </c>
      <c r="D81" s="55" t="s">
        <v>168</v>
      </c>
      <c r="E81" s="56" t="s">
        <v>8</v>
      </c>
      <c r="F81" s="56" t="s">
        <v>626</v>
      </c>
      <c r="G81" s="55" t="s">
        <v>161</v>
      </c>
      <c r="H81" s="55" t="s">
        <v>388</v>
      </c>
      <c r="I81" s="45" t="str">
        <f xml:space="preserve"> IF(ISNA( VLOOKUP(F81,lstFeatures,1,FALSE)),"Invalid","Valid")</f>
        <v>Valid</v>
      </c>
      <c r="J81" s="45" t="str">
        <f t="shared" si="3"/>
        <v>/api/v1/action-POST</v>
      </c>
      <c r="K81" t="s">
        <v>630</v>
      </c>
    </row>
    <row r="82" spans="1:11" x14ac:dyDescent="0.35">
      <c r="A82" s="41">
        <v>72</v>
      </c>
      <c r="B82" s="41" t="s">
        <v>36</v>
      </c>
      <c r="C82" s="55" t="s">
        <v>46</v>
      </c>
      <c r="D82" s="55" t="s">
        <v>166</v>
      </c>
      <c r="E82" s="56" t="s">
        <v>642</v>
      </c>
      <c r="F82" s="56" t="s">
        <v>639</v>
      </c>
      <c r="G82" s="55" t="s">
        <v>161</v>
      </c>
      <c r="H82" s="55" t="s">
        <v>388</v>
      </c>
      <c r="I82" s="45" t="str">
        <f xml:space="preserve"> IF(ISNA( VLOOKUP(F82,lstFeatures,1,FALSE)),"Invalid","Valid")</f>
        <v>Valid</v>
      </c>
      <c r="J82" s="45" t="str">
        <f t="shared" ref="J82" si="4">C82&amp;"-"&amp;D82</f>
        <v>/api/v1/document/user-GET</v>
      </c>
      <c r="K82" t="s">
        <v>640</v>
      </c>
    </row>
  </sheetData>
  <autoFilter ref="A1:K81" xr:uid="{00000000-0001-0000-0000-000000000000}"/>
  <conditionalFormatting sqref="H83:H1048576 H1:H78">
    <cfRule type="cellIs" dxfId="25" priority="8" operator="equal">
      <formula>"Code"</formula>
    </cfRule>
  </conditionalFormatting>
  <conditionalFormatting sqref="H79">
    <cfRule type="cellIs" dxfId="24" priority="5" operator="equal">
      <formula>"Code"</formula>
    </cfRule>
  </conditionalFormatting>
  <conditionalFormatting sqref="J79">
    <cfRule type="duplicateValues" dxfId="23" priority="6"/>
  </conditionalFormatting>
  <conditionalFormatting sqref="H80">
    <cfRule type="cellIs" dxfId="22" priority="3" operator="equal">
      <formula>"Code"</formula>
    </cfRule>
  </conditionalFormatting>
  <conditionalFormatting sqref="J80">
    <cfRule type="duplicateValues" dxfId="21" priority="4"/>
  </conditionalFormatting>
  <conditionalFormatting sqref="H81:H82">
    <cfRule type="cellIs" dxfId="20" priority="1" operator="equal">
      <formula>"Code"</formula>
    </cfRule>
  </conditionalFormatting>
  <conditionalFormatting sqref="J81:J82">
    <cfRule type="duplicateValues" dxfId="19" priority="2"/>
  </conditionalFormatting>
  <conditionalFormatting sqref="J2:J78">
    <cfRule type="duplicateValues" dxfId="18" priority="42"/>
  </conditionalFormatting>
  <dataValidations count="1">
    <dataValidation type="list" allowBlank="1" showInputMessage="1" showErrorMessage="1" sqref="F2:F1048576" xr:uid="{084B764A-88F9-4C43-B003-3BD7761C17C5}">
      <formula1>lstFeatures</formula1>
    </dataValidation>
  </dataValidations>
  <hyperlinks>
    <hyperlink ref="C11" r:id="rId1" location="/operations/attachment/getAttachmentListUsingGET" display="http://localhost:8080/docwb/swagger/index.html - /operations/attachment/getAttachmentListUsingGET" xr:uid="{00000000-0004-0000-0000-000000000000}"/>
    <hyperlink ref="C12" r:id="rId2" location="/operations/attachment/addAttachmentUsingPOST" display="http://localhost:8080/docwb/swagger/index.html - /operations/attachment/addAttachmentUsingPOST" xr:uid="{00000000-0004-0000-0000-000001000000}"/>
    <hyperlink ref="C39" r:id="rId3" location="/operations/auth/getAuthTokenUsingGET" display="http://localhost:8080/docwb/swagger/index.html - /operations/auth/getAuthTokenUsingGET" xr:uid="{00000000-0004-0000-0000-000007000000}"/>
    <hyperlink ref="C40" r:id="rId4" location="/operations/document/getDocumentListUsingGET" display="http://localhost:8080/docwb/swagger/index.html - /operations/document/getDocumentListUsingGET" xr:uid="{00000000-0004-0000-0000-000009000000}"/>
    <hyperlink ref="C41" r:id="rId5" location="/operations/document/addDocumentUsingPOST" display="http://localhost:8080/docwb/swagger/index.html - /operations/document/addDocumentUsingPOST" xr:uid="{00000000-0004-0000-0000-00000A000000}"/>
    <hyperlink ref="C42" r:id="rId6" location="/operations/document/deleteDocumentUsingDELETE_1" display="http://localhost:8080/docwb/swagger/index.html - /operations/document/deleteDocumentUsingDELETE_1" xr:uid="{00000000-0004-0000-0000-00000B000000}"/>
    <hyperlink ref="C43" r:id="rId7" location="/operations/document/closeCaseForDocUsingPOST" display="http://localhost:8080/docwb/swagger/index.html - /operations/document/closeCaseForDocUsingPOST" xr:uid="{00000000-0004-0000-0000-00000C000000}"/>
    <hyperlink ref="C45" r:id="rId8" location="/operations/document/updateDocActionStatusUsingPOST" display="http://localhost:8080/docwb/swagger/index.html - /operations/document/updateDocActionStatusUsingPOST" xr:uid="{00000000-0004-0000-0000-00000E000000}"/>
    <hyperlink ref="C46" r:id="rId9" location="/operations/document/addUserDocRelationshipUsingPOST" display="http://localhost:8080/docwb/swagger/index.html - /operations/document/addUserDocRelationshipUsingPOST" xr:uid="{00000000-0004-0000-0000-00000F000000}"/>
    <hyperlink ref="C48" r:id="rId10" location="/operations/email/getEmailSentListUsingGET" display="http://localhost:8080/docwb/swagger/index.html - /operations/email/getEmailSentListUsingGET" xr:uid="{00000000-0004-0000-0000-000010000000}"/>
    <hyperlink ref="C51" r:id="rId11" location="/operations/email/deleteEmailUsingDELETE" display="http://localhost:8080/docwb/swagger/index.html - /operations/email/deleteEmailUsingDELETE" xr:uid="{00000000-0004-0000-0000-000011000000}"/>
    <hyperlink ref="C52" r:id="rId12" location="/operations/email/getDraftEmailUsingGET" display="http://localhost:8080/docwb/swagger/index.html - /operations/email/getDraftEmailUsingGET" xr:uid="{00000000-0004-0000-0000-000012000000}"/>
    <hyperlink ref="C54" r:id="rId13" location="/operations/email/getEmailSentListByTaskStatusUsingGET" display="http://localhost:8080/docwb/swagger/index.html - /operations/email/getEmailSentListByTaskStatusUsingGET" xr:uid="{00000000-0004-0000-0000-000015000000}"/>
    <hyperlink ref="C55" r:id="rId14" location="/operations/queue/getDocumentCountUsingGET" display="http://localhost:8080/docwb/swagger/index.html - /operations/queue/getDocumentCountUsingGET" xr:uid="{00000000-0004-0000-0000-000017000000}"/>
    <hyperlink ref="C63" r:id="rId15" location="/operations/role/assignRoleUsingPOST" display="http://localhost:8080/docwb/swagger/index.html - /operations/role/assignRoleUsingPOST" xr:uid="{00000000-0004-0000-0000-000018000000}"/>
    <hyperlink ref="C64" r:id="rId16" location="/operations/role/deleteRoleUsingDELETE" display="http://localhost:8080/docwb/swagger/index.html - /operations/role/deleteRoleUsingDELETE" xr:uid="{00000000-0004-0000-0000-000019000000}"/>
    <hyperlink ref="C65" r:id="rId17" location="/operations/session/getLoggedInUserDetailsUsingGET" display="http://localhost:8080/docwb/swagger/index.html - /operations/session/getLoggedInUserDetailsUsingGET" xr:uid="{00000000-0004-0000-0000-00001A000000}"/>
    <hyperlink ref="C67" r:id="rId18" location="/operations/template/getTemplateListUsingGET_1" display="http://localhost:8080/docwb/swagger/index.html - /operations/template/getTemplateListUsingGET_1" xr:uid="{00000000-0004-0000-0000-00001B000000}"/>
    <hyperlink ref="C71" r:id="rId19" location="/operations/user/getListOfUsersUsingGET" display="http://localhost:8080/docwb/swagger/index.html - /operations/user/getListOfUsersUsingGET" xr:uid="{00000000-0004-0000-0000-000020000000}"/>
    <hyperlink ref="C74" r:id="rId20" location="/operations/user/addUserQueueRelationshipUsingPOST" display="http://localhost:8080/docwb/swagger/index.html - /operations/user/addUserQueueRelationshipUsingPOST" xr:uid="{00000000-0004-0000-0000-000022000000}"/>
    <hyperlink ref="C75" r:id="rId21" location="/operations/user/deleteUserQueueRelationshipUsingDELETE" display="http://localhost:8080/docwb/swagger/index.html - /operations/user/deleteUserQueueRelationshipUsingDELETE" xr:uid="{00000000-0004-0000-0000-000023000000}"/>
    <hyperlink ref="C76" r:id="rId22" location="/operations/val/getValTableDataUsingGET" display="http://localhost:8080/docwb/swagger/index.html - /operations/val/getValTableDataUsingGET" xr:uid="{00000000-0004-0000-0000-000024000000}"/>
    <hyperlink ref="C53" r:id="rId23" location="/operations/email/getDraftEmailUsingGET" display="http://localhost:8080/docwb/swagger/index.html - /operations/email/getDraftEmailUsingGET" xr:uid="{5CD57A01-B419-43D7-A25D-369FA1BCC788}"/>
    <hyperlink ref="C44" r:id="rId24" location="/operations/document/insertDocEventTypeUsingPOST" display="http://localhost:8080/docwb/swagger/index.html - /operations/document/insertDocEventTypeUsingPOST" xr:uid="{00000000-0004-0000-0000-00000D000000}"/>
    <hyperlink ref="C47" r:id="rId25" location="/operations/document/addUserDocRelationshipUsingPOST" display="http://localhost:8080/docwb/swagger/index.html - /operations/document/addUserDocRelationshipUsingPOST" xr:uid="{8987DF70-3FF5-49C0-AAA7-40DAF80CE428}"/>
    <hyperlink ref="C77" r:id="rId26" location="/operations/val/getValTableDataUsingGET" display="http://localhost:8080/docwb/swagger/index.html - /operations/val/getValTableDataUsingGET" xr:uid="{4E1CDCDE-009C-4A95-99FB-5D1EAA17A4F9}"/>
    <hyperlink ref="C78" r:id="rId27" location="/operations/val/getValTableDataUsingGET" display="http://localhost:8080/docwb/swagger/index.html - /operations/val/getValTableDataUsingGET" xr:uid="{64E87F62-042E-4B6D-AEA1-1CE09EF6A91B}"/>
    <hyperlink ref="C73" r:id="rId28" location="/operations/user/getQueueListForUserUsingGET" display="http://localhost:8080/docwb/swagger/index.html - /operations/user/getQueueListForUserUsingGET" xr:uid="{00000000-0004-0000-0000-000021000000}"/>
  </hyperlinks>
  <pageMargins left="0.7" right="0.7" top="0.75" bottom="0.75" header="0.3" footer="0.3"/>
  <pageSetup orientation="portrait" horizontalDpi="90" verticalDpi="90" r:id="rId2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FBED-54CB-483F-96B3-01DAA732E176}">
  <sheetPr filterMode="1">
    <tabColor rgb="FF92D050"/>
  </sheetPr>
  <dimension ref="A1:L54"/>
  <sheetViews>
    <sheetView zoomScale="70" zoomScaleNormal="70" workbookViewId="0">
      <pane ySplit="3" topLeftCell="A4" activePane="bottomLeft" state="frozen"/>
      <selection pane="bottomLeft" activeCell="B61" sqref="B61"/>
    </sheetView>
  </sheetViews>
  <sheetFormatPr defaultRowHeight="14.5" x14ac:dyDescent="0.35"/>
  <cols>
    <col min="1" max="1" width="9.1796875" style="1"/>
    <col min="2" max="2" width="37.7265625" style="25" customWidth="1"/>
    <col min="3" max="3" width="19.1796875" style="25" bestFit="1" customWidth="1"/>
    <col min="4" max="4" width="18.1796875" style="25" bestFit="1" customWidth="1"/>
    <col min="5" max="5" width="35.81640625" style="47" customWidth="1"/>
    <col min="6" max="6" width="28.453125" bestFit="1" customWidth="1"/>
    <col min="7" max="7" width="19.54296875" bestFit="1" customWidth="1"/>
    <col min="8" max="8" width="58" bestFit="1" customWidth="1"/>
    <col min="9" max="9" width="15.81640625" customWidth="1"/>
    <col min="10" max="10" width="32.1796875" customWidth="1"/>
    <col min="11" max="11" width="8.7265625" customWidth="1"/>
    <col min="12" max="12" width="18.453125" customWidth="1"/>
    <col min="14" max="14" width="11.453125" bestFit="1" customWidth="1"/>
    <col min="15" max="15" width="34.26953125" bestFit="1" customWidth="1"/>
  </cols>
  <sheetData>
    <row r="1" spans="1:12" x14ac:dyDescent="0.35">
      <c r="A1" s="69"/>
      <c r="B1" s="69"/>
      <c r="C1" s="69"/>
      <c r="D1" s="69"/>
      <c r="E1" s="47" t="s">
        <v>467</v>
      </c>
    </row>
    <row r="2" spans="1:12" x14ac:dyDescent="0.35">
      <c r="A2" s="69"/>
      <c r="B2" s="69"/>
      <c r="C2" s="69"/>
      <c r="D2" s="69"/>
    </row>
    <row r="3" spans="1:12" x14ac:dyDescent="0.35">
      <c r="A3" s="53" t="s">
        <v>316</v>
      </c>
      <c r="B3" s="53" t="s">
        <v>318</v>
      </c>
      <c r="C3" s="53" t="s">
        <v>323</v>
      </c>
      <c r="D3" s="53" t="s">
        <v>324</v>
      </c>
      <c r="E3" s="53" t="s">
        <v>259</v>
      </c>
      <c r="F3" s="53" t="s">
        <v>175</v>
      </c>
      <c r="G3" s="53" t="s">
        <v>234</v>
      </c>
      <c r="H3" s="53" t="s">
        <v>319</v>
      </c>
      <c r="I3" s="53" t="s">
        <v>233</v>
      </c>
      <c r="J3" s="53" t="s">
        <v>440</v>
      </c>
      <c r="K3" s="53" t="s">
        <v>276</v>
      </c>
      <c r="L3" s="53" t="s">
        <v>441</v>
      </c>
    </row>
    <row r="4" spans="1:12" hidden="1" x14ac:dyDescent="0.35">
      <c r="A4" s="41">
        <v>1</v>
      </c>
      <c r="B4" s="41" t="s">
        <v>321</v>
      </c>
      <c r="C4" s="41" t="s">
        <v>322</v>
      </c>
      <c r="D4" s="41" t="s">
        <v>322</v>
      </c>
      <c r="E4" s="66" t="s">
        <v>328</v>
      </c>
      <c r="F4" s="42" t="s">
        <v>268</v>
      </c>
      <c r="G4" s="42"/>
      <c r="H4" s="48" t="s">
        <v>320</v>
      </c>
      <c r="I4" s="42" t="s">
        <v>243</v>
      </c>
      <c r="J4" s="42" t="str">
        <f t="shared" ref="J4:J44" si="0">VLOOKUP(F4,lstFeatures,1,FALSE)</f>
        <v>core-view</v>
      </c>
      <c r="K4" s="42" t="s">
        <v>277</v>
      </c>
      <c r="L4" s="42" t="s">
        <v>453</v>
      </c>
    </row>
    <row r="5" spans="1:12" hidden="1" x14ac:dyDescent="0.35">
      <c r="A5" s="41">
        <v>2</v>
      </c>
      <c r="B5" s="41" t="s">
        <v>326</v>
      </c>
      <c r="C5" s="41" t="s">
        <v>322</v>
      </c>
      <c r="D5" s="41" t="s">
        <v>322</v>
      </c>
      <c r="E5" s="66" t="s">
        <v>327</v>
      </c>
      <c r="F5" s="42" t="s">
        <v>268</v>
      </c>
      <c r="G5" s="42"/>
      <c r="H5" s="48" t="s">
        <v>325</v>
      </c>
      <c r="I5" s="42" t="s">
        <v>243</v>
      </c>
      <c r="J5" s="42" t="str">
        <f t="shared" si="0"/>
        <v>core-view</v>
      </c>
      <c r="K5" s="42" t="s">
        <v>277</v>
      </c>
      <c r="L5" s="42" t="s">
        <v>453</v>
      </c>
    </row>
    <row r="6" spans="1:12" hidden="1" x14ac:dyDescent="0.35">
      <c r="A6" s="41">
        <v>3</v>
      </c>
      <c r="B6" s="67" t="s">
        <v>482</v>
      </c>
      <c r="C6" s="41" t="s">
        <v>334</v>
      </c>
      <c r="D6" s="41" t="s">
        <v>335</v>
      </c>
      <c r="E6" s="66" t="s">
        <v>261</v>
      </c>
      <c r="F6" s="42" t="s">
        <v>341</v>
      </c>
      <c r="G6" s="42"/>
      <c r="H6" s="42" t="s">
        <v>496</v>
      </c>
      <c r="I6" s="42" t="s">
        <v>177</v>
      </c>
      <c r="J6" s="42" t="str">
        <f t="shared" si="0"/>
        <v>user-list</v>
      </c>
      <c r="K6" s="42" t="s">
        <v>277</v>
      </c>
      <c r="L6" s="42"/>
    </row>
    <row r="7" spans="1:12" hidden="1" x14ac:dyDescent="0.35">
      <c r="A7" s="41">
        <v>4</v>
      </c>
      <c r="B7" s="67" t="s">
        <v>482</v>
      </c>
      <c r="C7" s="41" t="s">
        <v>332</v>
      </c>
      <c r="D7" s="41" t="s">
        <v>333</v>
      </c>
      <c r="E7" s="66" t="s">
        <v>262</v>
      </c>
      <c r="F7" s="42" t="s">
        <v>272</v>
      </c>
      <c r="G7" s="42"/>
      <c r="H7" s="42" t="s">
        <v>496</v>
      </c>
      <c r="I7" s="42" t="s">
        <v>177</v>
      </c>
      <c r="J7" s="42" t="str">
        <f t="shared" si="0"/>
        <v>user-edit</v>
      </c>
      <c r="K7" s="42" t="s">
        <v>277</v>
      </c>
      <c r="L7" s="42"/>
    </row>
    <row r="8" spans="1:12" hidden="1" x14ac:dyDescent="0.35">
      <c r="A8" s="41">
        <v>5</v>
      </c>
      <c r="B8" s="67" t="s">
        <v>482</v>
      </c>
      <c r="C8" s="41" t="s">
        <v>172</v>
      </c>
      <c r="D8" s="41" t="s">
        <v>329</v>
      </c>
      <c r="E8" s="66" t="s">
        <v>260</v>
      </c>
      <c r="F8" s="42" t="s">
        <v>272</v>
      </c>
      <c r="G8" s="42"/>
      <c r="H8" s="42" t="s">
        <v>496</v>
      </c>
      <c r="I8" s="42" t="s">
        <v>177</v>
      </c>
      <c r="J8" s="42" t="str">
        <f t="shared" si="0"/>
        <v>user-edit</v>
      </c>
      <c r="K8" s="42" t="s">
        <v>277</v>
      </c>
      <c r="L8" s="42"/>
    </row>
    <row r="9" spans="1:12" hidden="1" x14ac:dyDescent="0.35">
      <c r="A9" s="41">
        <v>6</v>
      </c>
      <c r="B9" s="67" t="s">
        <v>482</v>
      </c>
      <c r="C9" s="41" t="s">
        <v>336</v>
      </c>
      <c r="D9" s="41" t="s">
        <v>333</v>
      </c>
      <c r="E9" s="66" t="s">
        <v>342</v>
      </c>
      <c r="F9" s="42" t="s">
        <v>272</v>
      </c>
      <c r="G9" s="42"/>
      <c r="H9" s="42" t="s">
        <v>496</v>
      </c>
      <c r="I9" s="42" t="s">
        <v>177</v>
      </c>
      <c r="J9" s="42" t="str">
        <f t="shared" si="0"/>
        <v>user-edit</v>
      </c>
      <c r="K9" s="42" t="s">
        <v>277</v>
      </c>
      <c r="L9" s="42"/>
    </row>
    <row r="10" spans="1:12" hidden="1" x14ac:dyDescent="0.35">
      <c r="A10" s="41">
        <v>7</v>
      </c>
      <c r="B10" s="67" t="s">
        <v>482</v>
      </c>
      <c r="C10" s="41" t="s">
        <v>330</v>
      </c>
      <c r="D10" s="41" t="s">
        <v>331</v>
      </c>
      <c r="E10" s="66" t="s">
        <v>258</v>
      </c>
      <c r="F10" s="52" t="s">
        <v>431</v>
      </c>
      <c r="G10" s="42"/>
      <c r="H10" s="42" t="s">
        <v>496</v>
      </c>
      <c r="I10" s="42" t="s">
        <v>177</v>
      </c>
      <c r="J10" s="42" t="str">
        <f t="shared" si="0"/>
        <v>audit_user-view</v>
      </c>
      <c r="K10" s="42" t="s">
        <v>277</v>
      </c>
      <c r="L10" s="42"/>
    </row>
    <row r="11" spans="1:12" hidden="1" x14ac:dyDescent="0.35">
      <c r="A11" s="41">
        <v>8</v>
      </c>
      <c r="B11" s="67" t="s">
        <v>482</v>
      </c>
      <c r="C11" s="41" t="s">
        <v>337</v>
      </c>
      <c r="D11" s="41" t="s">
        <v>331</v>
      </c>
      <c r="E11" s="66" t="s">
        <v>338</v>
      </c>
      <c r="F11" s="42" t="s">
        <v>272</v>
      </c>
      <c r="G11" s="42"/>
      <c r="H11" s="42" t="s">
        <v>496</v>
      </c>
      <c r="I11" s="42" t="s">
        <v>177</v>
      </c>
      <c r="J11" s="42" t="str">
        <f t="shared" si="0"/>
        <v>user-edit</v>
      </c>
      <c r="K11" s="42" t="s">
        <v>277</v>
      </c>
      <c r="L11" s="42"/>
    </row>
    <row r="12" spans="1:12" hidden="1" x14ac:dyDescent="0.35">
      <c r="A12" s="41" t="s">
        <v>481</v>
      </c>
      <c r="B12" s="67" t="s">
        <v>483</v>
      </c>
      <c r="C12" s="41" t="s">
        <v>486</v>
      </c>
      <c r="D12" s="41" t="s">
        <v>335</v>
      </c>
      <c r="E12" s="66" t="s">
        <v>475</v>
      </c>
      <c r="F12" s="42" t="s">
        <v>487</v>
      </c>
      <c r="G12" s="42" t="s">
        <v>490</v>
      </c>
      <c r="H12" s="33" t="s">
        <v>495</v>
      </c>
      <c r="I12" s="42" t="s">
        <v>177</v>
      </c>
      <c r="J12" s="42" t="str">
        <f t="shared" si="0"/>
        <v>rbac-view</v>
      </c>
      <c r="K12" s="42" t="s">
        <v>277</v>
      </c>
      <c r="L12" s="42"/>
    </row>
    <row r="13" spans="1:12" hidden="1" x14ac:dyDescent="0.35">
      <c r="A13" s="41" t="s">
        <v>484</v>
      </c>
      <c r="B13" s="67" t="s">
        <v>483</v>
      </c>
      <c r="C13" s="41" t="s">
        <v>337</v>
      </c>
      <c r="D13" s="41" t="s">
        <v>331</v>
      </c>
      <c r="E13" s="66" t="s">
        <v>488</v>
      </c>
      <c r="F13" s="42" t="s">
        <v>489</v>
      </c>
      <c r="G13" s="42" t="s">
        <v>491</v>
      </c>
      <c r="H13" s="33" t="s">
        <v>495</v>
      </c>
      <c r="I13" s="42" t="s">
        <v>177</v>
      </c>
      <c r="J13" s="42" t="str">
        <f t="shared" si="0"/>
        <v>rbac-edit</v>
      </c>
      <c r="K13" s="42" t="s">
        <v>277</v>
      </c>
      <c r="L13" s="42"/>
    </row>
    <row r="14" spans="1:12" hidden="1" x14ac:dyDescent="0.35">
      <c r="A14" s="41" t="s">
        <v>485</v>
      </c>
      <c r="B14" s="67" t="s">
        <v>483</v>
      </c>
      <c r="C14" s="41" t="s">
        <v>492</v>
      </c>
      <c r="D14" s="41" t="s">
        <v>331</v>
      </c>
      <c r="E14" s="66" t="s">
        <v>493</v>
      </c>
      <c r="F14" s="42" t="s">
        <v>494</v>
      </c>
      <c r="G14" s="42"/>
      <c r="H14" s="33" t="s">
        <v>495</v>
      </c>
      <c r="I14" s="42" t="s">
        <v>177</v>
      </c>
      <c r="J14" s="42" t="str">
        <f t="shared" si="0"/>
        <v>audit_rbac-view</v>
      </c>
      <c r="K14" s="42" t="s">
        <v>277</v>
      </c>
      <c r="L14" s="42"/>
    </row>
    <row r="15" spans="1:12" hidden="1" x14ac:dyDescent="0.35">
      <c r="A15" s="41">
        <v>9</v>
      </c>
      <c r="B15" s="41" t="s">
        <v>343</v>
      </c>
      <c r="C15" s="41" t="s">
        <v>345</v>
      </c>
      <c r="D15" s="41" t="s">
        <v>344</v>
      </c>
      <c r="E15" s="66" t="s">
        <v>229</v>
      </c>
      <c r="F15" s="42" t="s">
        <v>228</v>
      </c>
      <c r="G15" s="42"/>
      <c r="H15" s="48" t="s">
        <v>225</v>
      </c>
      <c r="I15" s="42" t="s">
        <v>243</v>
      </c>
      <c r="J15" s="42" t="str">
        <f t="shared" si="0"/>
        <v>queue-list</v>
      </c>
      <c r="K15" s="42" t="s">
        <v>277</v>
      </c>
      <c r="L15" s="42"/>
    </row>
    <row r="16" spans="1:12" ht="29" hidden="1" x14ac:dyDescent="0.35">
      <c r="A16" s="41">
        <v>10</v>
      </c>
      <c r="B16" s="67" t="s">
        <v>346</v>
      </c>
      <c r="C16" s="41" t="s">
        <v>347</v>
      </c>
      <c r="D16" s="41" t="s">
        <v>335</v>
      </c>
      <c r="E16" s="66" t="s">
        <v>231</v>
      </c>
      <c r="F16" s="42" t="s">
        <v>232</v>
      </c>
      <c r="G16" s="42"/>
      <c r="H16" s="48" t="s">
        <v>230</v>
      </c>
      <c r="I16" s="42" t="s">
        <v>243</v>
      </c>
      <c r="J16" s="42" t="str">
        <f t="shared" si="0"/>
        <v>case-list</v>
      </c>
      <c r="K16" s="42" t="s">
        <v>277</v>
      </c>
      <c r="L16" s="42"/>
    </row>
    <row r="17" spans="1:12" ht="29" hidden="1" x14ac:dyDescent="0.35">
      <c r="A17" s="41">
        <v>11</v>
      </c>
      <c r="B17" s="67" t="s">
        <v>346</v>
      </c>
      <c r="C17" s="41" t="s">
        <v>348</v>
      </c>
      <c r="D17" s="41" t="s">
        <v>349</v>
      </c>
      <c r="E17" s="66" t="s">
        <v>264</v>
      </c>
      <c r="F17" s="42" t="s">
        <v>385</v>
      </c>
      <c r="G17" s="42"/>
      <c r="H17" s="42" t="s">
        <v>230</v>
      </c>
      <c r="I17" s="42" t="s">
        <v>243</v>
      </c>
      <c r="J17" s="52" t="str">
        <f t="shared" si="0"/>
        <v>case-user-create</v>
      </c>
      <c r="K17" s="42" t="s">
        <v>277</v>
      </c>
      <c r="L17" s="42"/>
    </row>
    <row r="18" spans="1:12" ht="29" hidden="1" x14ac:dyDescent="0.35">
      <c r="A18" s="41">
        <v>12</v>
      </c>
      <c r="B18" s="67" t="s">
        <v>346</v>
      </c>
      <c r="C18" s="41" t="s">
        <v>351</v>
      </c>
      <c r="D18" s="41" t="s">
        <v>331</v>
      </c>
      <c r="E18" s="66" t="s">
        <v>350</v>
      </c>
      <c r="F18" s="42" t="s">
        <v>386</v>
      </c>
      <c r="G18" s="42"/>
      <c r="H18" s="42" t="s">
        <v>246</v>
      </c>
      <c r="I18" s="42" t="s">
        <v>243</v>
      </c>
      <c r="J18" s="52" t="str">
        <f t="shared" si="0"/>
        <v>case-user-edit</v>
      </c>
      <c r="K18" s="42" t="s">
        <v>277</v>
      </c>
      <c r="L18" s="42"/>
    </row>
    <row r="19" spans="1:12" ht="29" hidden="1" x14ac:dyDescent="0.35">
      <c r="A19" s="41">
        <v>13</v>
      </c>
      <c r="B19" s="67" t="s">
        <v>346</v>
      </c>
      <c r="C19" s="41" t="s">
        <v>352</v>
      </c>
      <c r="D19" s="41" t="s">
        <v>331</v>
      </c>
      <c r="E19" s="66" t="s">
        <v>249</v>
      </c>
      <c r="F19" s="42" t="s">
        <v>432</v>
      </c>
      <c r="G19" s="42"/>
      <c r="H19" s="42" t="s">
        <v>246</v>
      </c>
      <c r="I19" s="42" t="s">
        <v>243</v>
      </c>
      <c r="J19" s="52" t="str">
        <f t="shared" si="0"/>
        <v>close_case-edit</v>
      </c>
      <c r="K19" s="42" t="s">
        <v>277</v>
      </c>
      <c r="L19" s="42"/>
    </row>
    <row r="20" spans="1:12" ht="29" hidden="1" x14ac:dyDescent="0.35">
      <c r="A20" s="41">
        <v>14</v>
      </c>
      <c r="B20" s="67" t="s">
        <v>353</v>
      </c>
      <c r="C20" s="41" t="s">
        <v>354</v>
      </c>
      <c r="D20" s="41" t="s">
        <v>355</v>
      </c>
      <c r="E20" s="66" t="s">
        <v>364</v>
      </c>
      <c r="F20" s="42" t="s">
        <v>274</v>
      </c>
      <c r="G20" s="42"/>
      <c r="H20" s="42" t="s">
        <v>245</v>
      </c>
      <c r="I20" s="42" t="s">
        <v>243</v>
      </c>
      <c r="J20" s="42" t="str">
        <f t="shared" si="0"/>
        <v>attachment-view</v>
      </c>
      <c r="K20" s="42" t="s">
        <v>277</v>
      </c>
      <c r="L20" s="42"/>
    </row>
    <row r="21" spans="1:12" ht="29" hidden="1" x14ac:dyDescent="0.35">
      <c r="A21" s="41">
        <v>15</v>
      </c>
      <c r="B21" s="67" t="s">
        <v>353</v>
      </c>
      <c r="C21" s="41" t="s">
        <v>357</v>
      </c>
      <c r="D21" s="41" t="s">
        <v>356</v>
      </c>
      <c r="E21" s="66" t="s">
        <v>363</v>
      </c>
      <c r="F21" s="42" t="s">
        <v>274</v>
      </c>
      <c r="G21" s="42"/>
      <c r="H21" s="42" t="s">
        <v>245</v>
      </c>
      <c r="I21" s="42" t="s">
        <v>243</v>
      </c>
      <c r="J21" s="42" t="str">
        <f t="shared" si="0"/>
        <v>attachment-view</v>
      </c>
      <c r="K21" s="42" t="s">
        <v>277</v>
      </c>
      <c r="L21" s="42"/>
    </row>
    <row r="22" spans="1:12" ht="29" hidden="1" x14ac:dyDescent="0.35">
      <c r="A22" s="41">
        <v>16</v>
      </c>
      <c r="B22" s="67" t="s">
        <v>353</v>
      </c>
      <c r="C22" s="41" t="s">
        <v>358</v>
      </c>
      <c r="D22" s="41" t="s">
        <v>359</v>
      </c>
      <c r="E22" s="66" t="s">
        <v>362</v>
      </c>
      <c r="F22" s="42" t="s">
        <v>525</v>
      </c>
      <c r="G22" s="42"/>
      <c r="H22" s="42" t="s">
        <v>254</v>
      </c>
      <c r="I22" s="42" t="s">
        <v>243</v>
      </c>
      <c r="J22" s="42" t="str">
        <f t="shared" si="0"/>
        <v>attribute_annotation-view</v>
      </c>
      <c r="K22" s="42" t="s">
        <v>277</v>
      </c>
      <c r="L22" s="42"/>
    </row>
    <row r="23" spans="1:12" ht="29" hidden="1" x14ac:dyDescent="0.35">
      <c r="A23" s="41" t="s">
        <v>524</v>
      </c>
      <c r="B23" s="67" t="s">
        <v>353</v>
      </c>
      <c r="C23" s="41" t="s">
        <v>358</v>
      </c>
      <c r="D23" s="41" t="s">
        <v>331</v>
      </c>
      <c r="E23" s="66" t="s">
        <v>527</v>
      </c>
      <c r="F23" s="42" t="s">
        <v>528</v>
      </c>
      <c r="G23" s="42"/>
      <c r="H23" s="42" t="s">
        <v>254</v>
      </c>
      <c r="I23" s="42" t="s">
        <v>243</v>
      </c>
      <c r="J23" s="42" t="str">
        <f t="shared" si="0"/>
        <v>attribute_annotation-delete</v>
      </c>
      <c r="K23" s="42" t="s">
        <v>277</v>
      </c>
      <c r="L23" s="42"/>
    </row>
    <row r="24" spans="1:12" ht="29" hidden="1" x14ac:dyDescent="0.35">
      <c r="A24" s="41" t="s">
        <v>526</v>
      </c>
      <c r="B24" s="67" t="s">
        <v>353</v>
      </c>
      <c r="C24" s="41" t="s">
        <v>358</v>
      </c>
      <c r="D24" s="41" t="s">
        <v>331</v>
      </c>
      <c r="E24" s="66" t="s">
        <v>529</v>
      </c>
      <c r="F24" s="42" t="s">
        <v>530</v>
      </c>
      <c r="G24" s="42"/>
      <c r="H24" s="42" t="s">
        <v>254</v>
      </c>
      <c r="I24" s="42" t="s">
        <v>243</v>
      </c>
      <c r="J24" s="42" t="str">
        <f>VLOOKUP(F24,lstFeatures,1,FALSE)</f>
        <v>attribute_annotation-create</v>
      </c>
      <c r="K24" s="42" t="s">
        <v>277</v>
      </c>
      <c r="L24" s="42"/>
    </row>
    <row r="25" spans="1:12" ht="29" hidden="1" x14ac:dyDescent="0.35">
      <c r="A25" s="41">
        <v>17</v>
      </c>
      <c r="B25" s="67" t="s">
        <v>353</v>
      </c>
      <c r="C25" s="41" t="s">
        <v>348</v>
      </c>
      <c r="D25" s="41" t="s">
        <v>331</v>
      </c>
      <c r="E25" s="66" t="s">
        <v>264</v>
      </c>
      <c r="F25" s="42" t="s">
        <v>385</v>
      </c>
      <c r="G25" s="42"/>
      <c r="H25" s="42" t="s">
        <v>254</v>
      </c>
      <c r="I25" s="42" t="s">
        <v>243</v>
      </c>
      <c r="J25" s="52" t="str">
        <f t="shared" si="0"/>
        <v>case-user-create</v>
      </c>
      <c r="K25" s="42" t="s">
        <v>277</v>
      </c>
      <c r="L25" s="42"/>
    </row>
    <row r="26" spans="1:12" ht="29" hidden="1" x14ac:dyDescent="0.35">
      <c r="A26" s="41">
        <v>18</v>
      </c>
      <c r="B26" s="67" t="s">
        <v>353</v>
      </c>
      <c r="C26" s="41" t="s">
        <v>351</v>
      </c>
      <c r="D26" s="41" t="s">
        <v>331</v>
      </c>
      <c r="E26" s="66" t="s">
        <v>350</v>
      </c>
      <c r="F26" s="42" t="s">
        <v>386</v>
      </c>
      <c r="G26" s="42"/>
      <c r="H26" s="42" t="s">
        <v>254</v>
      </c>
      <c r="I26" s="42" t="s">
        <v>243</v>
      </c>
      <c r="J26" s="52" t="str">
        <f t="shared" si="0"/>
        <v>case-user-edit</v>
      </c>
      <c r="K26" s="42" t="s">
        <v>277</v>
      </c>
      <c r="L26" s="42"/>
    </row>
    <row r="27" spans="1:12" ht="29" hidden="1" x14ac:dyDescent="0.35">
      <c r="A27" s="41">
        <v>19</v>
      </c>
      <c r="B27" s="67" t="s">
        <v>353</v>
      </c>
      <c r="C27" s="41" t="s">
        <v>360</v>
      </c>
      <c r="D27" s="41" t="s">
        <v>335</v>
      </c>
      <c r="E27" s="66" t="s">
        <v>361</v>
      </c>
      <c r="F27" s="42" t="s">
        <v>236</v>
      </c>
      <c r="G27" s="42"/>
      <c r="H27" s="42" t="s">
        <v>251</v>
      </c>
      <c r="I27" s="42" t="s">
        <v>243</v>
      </c>
      <c r="J27" s="42" t="str">
        <f t="shared" si="0"/>
        <v>attribute-view</v>
      </c>
      <c r="K27" s="42" t="s">
        <v>277</v>
      </c>
      <c r="L27" s="42"/>
    </row>
    <row r="28" spans="1:12" ht="29" hidden="1" x14ac:dyDescent="0.35">
      <c r="A28" s="41" t="s">
        <v>514</v>
      </c>
      <c r="B28" s="67" t="s">
        <v>353</v>
      </c>
      <c r="C28" s="41" t="s">
        <v>360</v>
      </c>
      <c r="D28" s="41" t="s">
        <v>335</v>
      </c>
      <c r="E28" s="66" t="s">
        <v>515</v>
      </c>
      <c r="F28" s="42" t="s">
        <v>516</v>
      </c>
      <c r="G28" s="42"/>
      <c r="H28" s="42" t="s">
        <v>251</v>
      </c>
      <c r="I28" s="42" t="s">
        <v>243</v>
      </c>
      <c r="J28" s="42" t="str">
        <f>VLOOKUP(F28,lstFeatures,1,FALSE)</f>
        <v>attribute_source-view</v>
      </c>
      <c r="K28" s="42" t="s">
        <v>277</v>
      </c>
      <c r="L28" s="42"/>
    </row>
    <row r="29" spans="1:12" ht="29" hidden="1" x14ac:dyDescent="0.35">
      <c r="A29" s="41" t="s">
        <v>540</v>
      </c>
      <c r="B29" s="67" t="s">
        <v>353</v>
      </c>
      <c r="C29" s="41" t="s">
        <v>542</v>
      </c>
      <c r="D29" s="41" t="s">
        <v>356</v>
      </c>
      <c r="E29" s="66" t="s">
        <v>515</v>
      </c>
      <c r="F29" s="42" t="s">
        <v>543</v>
      </c>
      <c r="G29" s="42"/>
      <c r="H29" s="42" t="s">
        <v>251</v>
      </c>
      <c r="I29" s="42" t="s">
        <v>243</v>
      </c>
      <c r="J29" s="42" t="str">
        <f t="shared" si="0"/>
        <v>attribute_extractionpath-view</v>
      </c>
      <c r="K29" s="42" t="s">
        <v>277</v>
      </c>
      <c r="L29" s="42"/>
    </row>
    <row r="30" spans="1:12" ht="29" hidden="1" x14ac:dyDescent="0.35">
      <c r="A30" s="41" t="s">
        <v>545</v>
      </c>
      <c r="B30" s="67" t="s">
        <v>541</v>
      </c>
      <c r="C30" s="41" t="s">
        <v>542</v>
      </c>
      <c r="D30" s="41" t="s">
        <v>335</v>
      </c>
      <c r="E30" s="66" t="s">
        <v>515</v>
      </c>
      <c r="F30" s="42" t="s">
        <v>543</v>
      </c>
      <c r="G30" s="42"/>
      <c r="H30" s="73" t="s">
        <v>544</v>
      </c>
      <c r="I30" s="42" t="s">
        <v>243</v>
      </c>
      <c r="J30" s="42" t="str">
        <f>VLOOKUP(F30,lstFeatures,1,FALSE)</f>
        <v>attribute_extractionpath-view</v>
      </c>
      <c r="K30" s="42" t="s">
        <v>277</v>
      </c>
      <c r="L30" s="42"/>
    </row>
    <row r="31" spans="1:12" ht="29" hidden="1" x14ac:dyDescent="0.35">
      <c r="A31" s="41">
        <v>20</v>
      </c>
      <c r="B31" s="67" t="s">
        <v>353</v>
      </c>
      <c r="C31" s="41" t="s">
        <v>365</v>
      </c>
      <c r="D31" s="41" t="s">
        <v>356</v>
      </c>
      <c r="E31" s="66" t="s">
        <v>366</v>
      </c>
      <c r="F31" s="42" t="s">
        <v>237</v>
      </c>
      <c r="G31" s="42"/>
      <c r="H31" s="42" t="s">
        <v>251</v>
      </c>
      <c r="I31" s="42" t="s">
        <v>243</v>
      </c>
      <c r="J31" s="42" t="str">
        <f t="shared" si="0"/>
        <v>attribute-create</v>
      </c>
      <c r="K31" s="42" t="s">
        <v>277</v>
      </c>
      <c r="L31" s="42"/>
    </row>
    <row r="32" spans="1:12" ht="29" hidden="1" x14ac:dyDescent="0.35">
      <c r="A32" s="41">
        <v>21</v>
      </c>
      <c r="B32" s="67" t="s">
        <v>353</v>
      </c>
      <c r="C32" s="41" t="s">
        <v>367</v>
      </c>
      <c r="D32" s="41" t="s">
        <v>356</v>
      </c>
      <c r="E32" s="66" t="s">
        <v>368</v>
      </c>
      <c r="F32" s="42" t="s">
        <v>238</v>
      </c>
      <c r="G32" s="42"/>
      <c r="H32" s="42" t="s">
        <v>251</v>
      </c>
      <c r="I32" s="42" t="s">
        <v>243</v>
      </c>
      <c r="J32" s="42" t="str">
        <f t="shared" si="0"/>
        <v>attribute-delete</v>
      </c>
      <c r="K32" s="42" t="s">
        <v>277</v>
      </c>
      <c r="L32" s="42"/>
    </row>
    <row r="33" spans="1:12" ht="29" hidden="1" x14ac:dyDescent="0.35">
      <c r="A33" s="41">
        <v>22</v>
      </c>
      <c r="B33" s="67" t="s">
        <v>353</v>
      </c>
      <c r="C33" s="41" t="s">
        <v>371</v>
      </c>
      <c r="D33" s="41" t="s">
        <v>369</v>
      </c>
      <c r="E33" s="66" t="s">
        <v>370</v>
      </c>
      <c r="F33" s="42" t="s">
        <v>239</v>
      </c>
      <c r="G33" s="42"/>
      <c r="H33" s="42" t="s">
        <v>251</v>
      </c>
      <c r="I33" s="42" t="s">
        <v>243</v>
      </c>
      <c r="J33" s="42" t="str">
        <f t="shared" si="0"/>
        <v>attribute-edit</v>
      </c>
      <c r="K33" s="42" t="s">
        <v>277</v>
      </c>
      <c r="L33" s="42"/>
    </row>
    <row r="34" spans="1:12" ht="29" hidden="1" x14ac:dyDescent="0.35">
      <c r="A34" s="41">
        <v>23</v>
      </c>
      <c r="B34" s="67" t="s">
        <v>353</v>
      </c>
      <c r="C34" s="41" t="s">
        <v>337</v>
      </c>
      <c r="D34" s="41" t="s">
        <v>331</v>
      </c>
      <c r="E34" s="66" t="s">
        <v>392</v>
      </c>
      <c r="F34" s="42"/>
      <c r="G34" s="42" t="s">
        <v>393</v>
      </c>
      <c r="H34" s="42" t="s">
        <v>251</v>
      </c>
      <c r="I34" s="42" t="s">
        <v>243</v>
      </c>
      <c r="J34" s="52" t="e">
        <f t="shared" si="0"/>
        <v>#N/A</v>
      </c>
      <c r="K34" s="42" t="s">
        <v>277</v>
      </c>
      <c r="L34" s="42"/>
    </row>
    <row r="35" spans="1:12" ht="29" hidden="1" x14ac:dyDescent="0.35">
      <c r="A35" s="41">
        <v>24</v>
      </c>
      <c r="B35" s="67" t="s">
        <v>353</v>
      </c>
      <c r="C35" s="41" t="s">
        <v>397</v>
      </c>
      <c r="D35" s="41" t="s">
        <v>331</v>
      </c>
      <c r="E35" s="66" t="s">
        <v>394</v>
      </c>
      <c r="F35" s="42" t="s">
        <v>224</v>
      </c>
      <c r="G35" s="42"/>
      <c r="H35" s="42" t="s">
        <v>251</v>
      </c>
      <c r="I35" s="42" t="s">
        <v>243</v>
      </c>
      <c r="J35" s="42" t="str">
        <f t="shared" si="0"/>
        <v>action-create</v>
      </c>
      <c r="K35" s="42" t="s">
        <v>277</v>
      </c>
      <c r="L35" s="42"/>
    </row>
    <row r="36" spans="1:12" ht="29" hidden="1" x14ac:dyDescent="0.35">
      <c r="A36" s="41">
        <v>25</v>
      </c>
      <c r="B36" s="67" t="s">
        <v>353</v>
      </c>
      <c r="C36" s="41" t="s">
        <v>395</v>
      </c>
      <c r="D36" s="41" t="s">
        <v>335</v>
      </c>
      <c r="E36" s="66" t="s">
        <v>396</v>
      </c>
      <c r="F36" s="42" t="s">
        <v>235</v>
      </c>
      <c r="G36" s="42"/>
      <c r="H36" s="42" t="s">
        <v>251</v>
      </c>
      <c r="I36" s="42" t="s">
        <v>243</v>
      </c>
      <c r="J36" s="42" t="str">
        <f t="shared" si="0"/>
        <v>action-view</v>
      </c>
      <c r="K36" s="42" t="s">
        <v>277</v>
      </c>
      <c r="L36" s="42"/>
    </row>
    <row r="37" spans="1:12" ht="29" hidden="1" x14ac:dyDescent="0.35">
      <c r="A37" s="41">
        <v>26</v>
      </c>
      <c r="B37" s="67" t="s">
        <v>353</v>
      </c>
      <c r="C37" s="41" t="s">
        <v>398</v>
      </c>
      <c r="D37" s="41" t="s">
        <v>331</v>
      </c>
      <c r="E37" s="66" t="s">
        <v>399</v>
      </c>
      <c r="F37" s="42" t="s">
        <v>235</v>
      </c>
      <c r="G37" s="42"/>
      <c r="H37" s="42" t="s">
        <v>251</v>
      </c>
      <c r="I37" s="42" t="s">
        <v>243</v>
      </c>
      <c r="J37" s="42" t="str">
        <f t="shared" si="0"/>
        <v>action-view</v>
      </c>
      <c r="K37" s="42" t="s">
        <v>277</v>
      </c>
      <c r="L37" s="42"/>
    </row>
    <row r="38" spans="1:12" ht="29" hidden="1" x14ac:dyDescent="0.35">
      <c r="A38" s="41">
        <v>27</v>
      </c>
      <c r="B38" s="67" t="s">
        <v>400</v>
      </c>
      <c r="C38" s="41" t="s">
        <v>401</v>
      </c>
      <c r="D38" s="41" t="s">
        <v>331</v>
      </c>
      <c r="E38" s="66" t="s">
        <v>402</v>
      </c>
      <c r="F38" s="42" t="s">
        <v>224</v>
      </c>
      <c r="G38" s="42"/>
      <c r="H38" s="42" t="s">
        <v>251</v>
      </c>
      <c r="I38" s="42" t="s">
        <v>243</v>
      </c>
      <c r="J38" s="42" t="str">
        <f t="shared" si="0"/>
        <v>action-create</v>
      </c>
      <c r="K38" s="42" t="s">
        <v>277</v>
      </c>
      <c r="L38" s="42"/>
    </row>
    <row r="39" spans="1:12" ht="29" hidden="1" x14ac:dyDescent="0.35">
      <c r="A39" s="41">
        <v>28</v>
      </c>
      <c r="B39" s="67" t="s">
        <v>353</v>
      </c>
      <c r="C39" s="41" t="s">
        <v>403</v>
      </c>
      <c r="D39" s="41" t="s">
        <v>331</v>
      </c>
      <c r="E39" s="66" t="s">
        <v>201</v>
      </c>
      <c r="F39" s="42" t="s">
        <v>429</v>
      </c>
      <c r="G39" s="42"/>
      <c r="H39" s="42" t="s">
        <v>251</v>
      </c>
      <c r="I39" s="42" t="s">
        <v>243</v>
      </c>
      <c r="J39" s="52" t="str">
        <f t="shared" si="0"/>
        <v>audit_case-view</v>
      </c>
      <c r="K39" s="42" t="s">
        <v>277</v>
      </c>
      <c r="L39" s="42"/>
    </row>
    <row r="40" spans="1:12" ht="29" hidden="1" x14ac:dyDescent="0.35">
      <c r="A40" s="41">
        <v>29</v>
      </c>
      <c r="B40" s="67" t="s">
        <v>353</v>
      </c>
      <c r="C40" s="41" t="s">
        <v>352</v>
      </c>
      <c r="D40" s="41" t="s">
        <v>331</v>
      </c>
      <c r="E40" s="66" t="s">
        <v>249</v>
      </c>
      <c r="F40" s="42" t="s">
        <v>432</v>
      </c>
      <c r="G40" s="42"/>
      <c r="H40" s="42" t="s">
        <v>246</v>
      </c>
      <c r="I40" s="42" t="s">
        <v>243</v>
      </c>
      <c r="J40" s="52" t="str">
        <f t="shared" si="0"/>
        <v>close_case-edit</v>
      </c>
      <c r="K40" s="42" t="s">
        <v>277</v>
      </c>
      <c r="L40" s="42"/>
    </row>
    <row r="41" spans="1:12" ht="29" hidden="1" x14ac:dyDescent="0.35">
      <c r="A41" s="41">
        <v>30</v>
      </c>
      <c r="B41" s="67" t="s">
        <v>353</v>
      </c>
      <c r="C41" s="41" t="s">
        <v>405</v>
      </c>
      <c r="D41" s="41" t="s">
        <v>335</v>
      </c>
      <c r="E41" s="66" t="s">
        <v>406</v>
      </c>
      <c r="F41" s="42" t="s">
        <v>428</v>
      </c>
      <c r="G41" s="42"/>
      <c r="H41" s="48" t="s">
        <v>404</v>
      </c>
      <c r="I41" s="42" t="s">
        <v>243</v>
      </c>
      <c r="J41" s="52" t="str">
        <f t="shared" si="0"/>
        <v>outbound_email-view</v>
      </c>
      <c r="K41" s="42" t="s">
        <v>277</v>
      </c>
      <c r="L41" s="42"/>
    </row>
    <row r="42" spans="1:12" ht="29" hidden="1" x14ac:dyDescent="0.35">
      <c r="A42" s="41">
        <v>31</v>
      </c>
      <c r="B42" s="67" t="s">
        <v>353</v>
      </c>
      <c r="C42" s="41" t="s">
        <v>405</v>
      </c>
      <c r="D42" s="41" t="s">
        <v>407</v>
      </c>
      <c r="E42" s="66" t="s">
        <v>408</v>
      </c>
      <c r="F42" s="42" t="s">
        <v>428</v>
      </c>
      <c r="G42" s="42"/>
      <c r="H42" s="48" t="s">
        <v>404</v>
      </c>
      <c r="I42" s="42" t="s">
        <v>243</v>
      </c>
      <c r="J42" s="52" t="str">
        <f t="shared" si="0"/>
        <v>outbound_email-view</v>
      </c>
      <c r="K42" s="42" t="s">
        <v>277</v>
      </c>
      <c r="L42" s="42"/>
    </row>
    <row r="43" spans="1:12" ht="29" hidden="1" x14ac:dyDescent="0.35">
      <c r="A43" s="41">
        <v>32</v>
      </c>
      <c r="B43" s="67" t="s">
        <v>353</v>
      </c>
      <c r="C43" s="41" t="s">
        <v>405</v>
      </c>
      <c r="D43" s="41" t="s">
        <v>409</v>
      </c>
      <c r="E43" s="66" t="s">
        <v>410</v>
      </c>
      <c r="F43" s="42" t="s">
        <v>434</v>
      </c>
      <c r="G43" s="42"/>
      <c r="H43" s="48" t="s">
        <v>404</v>
      </c>
      <c r="I43" s="42" t="s">
        <v>243</v>
      </c>
      <c r="J43" s="52" t="str">
        <f t="shared" si="0"/>
        <v>outbound_email-create</v>
      </c>
      <c r="K43" s="42" t="s">
        <v>277</v>
      </c>
      <c r="L43" s="42" t="s">
        <v>468</v>
      </c>
    </row>
    <row r="44" spans="1:12" ht="29" hidden="1" x14ac:dyDescent="0.35">
      <c r="A44" s="41">
        <v>33</v>
      </c>
      <c r="B44" s="67" t="s">
        <v>353</v>
      </c>
      <c r="C44" s="41" t="s">
        <v>405</v>
      </c>
      <c r="D44" s="41" t="s">
        <v>411</v>
      </c>
      <c r="E44" s="66" t="s">
        <v>412</v>
      </c>
      <c r="F44" s="42" t="s">
        <v>434</v>
      </c>
      <c r="G44" s="42"/>
      <c r="H44" s="48" t="s">
        <v>404</v>
      </c>
      <c r="I44" s="42" t="s">
        <v>243</v>
      </c>
      <c r="J44" s="52" t="str">
        <f t="shared" si="0"/>
        <v>outbound_email-create</v>
      </c>
      <c r="K44" s="42" t="s">
        <v>277</v>
      </c>
      <c r="L44" s="42" t="s">
        <v>468</v>
      </c>
    </row>
    <row r="45" spans="1:12" ht="58" hidden="1" x14ac:dyDescent="0.35">
      <c r="A45" s="41">
        <v>17</v>
      </c>
      <c r="B45" s="67" t="s">
        <v>353</v>
      </c>
      <c r="C45" s="41" t="s">
        <v>469</v>
      </c>
      <c r="D45" s="41" t="s">
        <v>359</v>
      </c>
      <c r="E45" s="66" t="s">
        <v>470</v>
      </c>
      <c r="F45" s="42" t="s">
        <v>237</v>
      </c>
      <c r="G45" s="51" t="s">
        <v>471</v>
      </c>
      <c r="H45" s="42" t="s">
        <v>254</v>
      </c>
      <c r="I45" s="42" t="s">
        <v>243</v>
      </c>
      <c r="J45" s="52" t="str">
        <f t="shared" ref="J45:J52" si="1">VLOOKUP(F45,lstFeatures,1,FALSE)</f>
        <v>attribute-create</v>
      </c>
      <c r="K45" s="42" t="s">
        <v>277</v>
      </c>
      <c r="L45" s="42"/>
    </row>
    <row r="46" spans="1:12" hidden="1" x14ac:dyDescent="0.35">
      <c r="A46" s="41">
        <v>18</v>
      </c>
      <c r="B46" s="41" t="s">
        <v>548</v>
      </c>
      <c r="C46" s="41" t="s">
        <v>549</v>
      </c>
      <c r="D46" s="41" t="s">
        <v>355</v>
      </c>
      <c r="E46" s="66" t="s">
        <v>560</v>
      </c>
      <c r="F46" s="42" t="s">
        <v>556</v>
      </c>
      <c r="G46" s="42"/>
      <c r="H46" s="48" t="s">
        <v>557</v>
      </c>
      <c r="I46" s="48" t="s">
        <v>417</v>
      </c>
      <c r="J46" s="52" t="str">
        <f t="shared" si="1"/>
        <v>dashboard_case_all-view</v>
      </c>
      <c r="K46" s="42"/>
      <c r="L46" s="42" t="s">
        <v>558</v>
      </c>
    </row>
    <row r="47" spans="1:12" hidden="1" x14ac:dyDescent="0.35">
      <c r="A47" s="41">
        <v>19</v>
      </c>
      <c r="B47" s="41" t="s">
        <v>548</v>
      </c>
      <c r="C47" s="41" t="s">
        <v>559</v>
      </c>
      <c r="D47" s="41" t="s">
        <v>329</v>
      </c>
      <c r="E47" s="66" t="s">
        <v>561</v>
      </c>
      <c r="F47" s="42" t="s">
        <v>562</v>
      </c>
      <c r="G47" s="42"/>
      <c r="H47" s="48" t="s">
        <v>557</v>
      </c>
      <c r="I47" s="48" t="s">
        <v>417</v>
      </c>
      <c r="J47" s="52" t="str">
        <f t="shared" si="1"/>
        <v>dashboard_case_team-view</v>
      </c>
      <c r="K47" s="42"/>
      <c r="L47" s="42" t="s">
        <v>558</v>
      </c>
    </row>
    <row r="48" spans="1:12" ht="29" x14ac:dyDescent="0.35">
      <c r="A48" s="41">
        <v>20</v>
      </c>
      <c r="B48" s="67" t="s">
        <v>353</v>
      </c>
      <c r="C48" s="41" t="s">
        <v>588</v>
      </c>
      <c r="D48" s="41" t="s">
        <v>356</v>
      </c>
      <c r="E48" s="66" t="s">
        <v>589</v>
      </c>
      <c r="F48" s="42" t="s">
        <v>624</v>
      </c>
      <c r="G48" s="42"/>
      <c r="H48" s="42" t="s">
        <v>251</v>
      </c>
      <c r="I48" s="42" t="s">
        <v>243</v>
      </c>
      <c r="J48" s="52" t="str">
        <f t="shared" si="1"/>
        <v>action_data_entry_completed-create</v>
      </c>
      <c r="K48" s="42" t="s">
        <v>277</v>
      </c>
      <c r="L48" s="42" t="s">
        <v>598</v>
      </c>
    </row>
    <row r="49" spans="1:12" ht="29" x14ac:dyDescent="0.35">
      <c r="A49" s="41">
        <v>21</v>
      </c>
      <c r="B49" s="67" t="s">
        <v>353</v>
      </c>
      <c r="C49" s="41" t="s">
        <v>597</v>
      </c>
      <c r="D49" s="41" t="s">
        <v>356</v>
      </c>
      <c r="E49" s="66" t="s">
        <v>589</v>
      </c>
      <c r="F49" s="42" t="s">
        <v>625</v>
      </c>
      <c r="G49" s="42"/>
      <c r="H49" s="42" t="s">
        <v>251</v>
      </c>
      <c r="I49" s="42" t="s">
        <v>243</v>
      </c>
      <c r="J49" s="52" t="str">
        <f t="shared" si="1"/>
        <v>action_data_entry_approved-create</v>
      </c>
      <c r="K49" s="42" t="s">
        <v>277</v>
      </c>
      <c r="L49" s="42" t="s">
        <v>632</v>
      </c>
    </row>
    <row r="50" spans="1:12" ht="29" x14ac:dyDescent="0.35">
      <c r="A50" s="41">
        <v>22</v>
      </c>
      <c r="B50" s="67" t="s">
        <v>353</v>
      </c>
      <c r="C50" s="41" t="s">
        <v>596</v>
      </c>
      <c r="D50" s="41" t="s">
        <v>356</v>
      </c>
      <c r="E50" s="66" t="s">
        <v>589</v>
      </c>
      <c r="F50" s="42" t="s">
        <v>626</v>
      </c>
      <c r="G50" s="42"/>
      <c r="H50" s="42" t="s">
        <v>251</v>
      </c>
      <c r="I50" s="42" t="s">
        <v>243</v>
      </c>
      <c r="J50" s="52" t="str">
        <f t="shared" si="1"/>
        <v>action_data_entry_rejected-create</v>
      </c>
      <c r="K50" s="42" t="s">
        <v>277</v>
      </c>
      <c r="L50" s="42" t="s">
        <v>598</v>
      </c>
    </row>
    <row r="51" spans="1:12" ht="29" x14ac:dyDescent="0.35">
      <c r="A51" s="41">
        <v>23</v>
      </c>
      <c r="B51" s="67" t="s">
        <v>353</v>
      </c>
      <c r="C51" s="41" t="s">
        <v>601</v>
      </c>
      <c r="D51" s="41" t="s">
        <v>329</v>
      </c>
      <c r="E51" s="66" t="s">
        <v>602</v>
      </c>
      <c r="F51" s="42" t="s">
        <v>629</v>
      </c>
      <c r="G51" s="42"/>
      <c r="H51" s="42" t="s">
        <v>251</v>
      </c>
      <c r="I51" s="42" t="s">
        <v>243</v>
      </c>
      <c r="J51" s="52" t="str">
        <f t="shared" si="1"/>
        <v>case_review-user-create</v>
      </c>
      <c r="K51" s="42" t="s">
        <v>277</v>
      </c>
      <c r="L51" s="42" t="s">
        <v>598</v>
      </c>
    </row>
    <row r="52" spans="1:12" ht="29" x14ac:dyDescent="0.35">
      <c r="A52" s="41">
        <v>24</v>
      </c>
      <c r="B52" s="67" t="s">
        <v>353</v>
      </c>
      <c r="C52" s="41" t="s">
        <v>601</v>
      </c>
      <c r="D52" s="41" t="s">
        <v>329</v>
      </c>
      <c r="E52" s="66" t="s">
        <v>638</v>
      </c>
      <c r="F52" s="42" t="s">
        <v>627</v>
      </c>
      <c r="G52" s="42"/>
      <c r="H52" s="42" t="s">
        <v>251</v>
      </c>
      <c r="I52" s="42" t="s">
        <v>243</v>
      </c>
      <c r="J52" s="52" t="str">
        <f t="shared" si="1"/>
        <v>case_review-user-edit</v>
      </c>
      <c r="K52" s="42" t="s">
        <v>277</v>
      </c>
      <c r="L52" s="42" t="s">
        <v>598</v>
      </c>
    </row>
    <row r="53" spans="1:12" ht="29" x14ac:dyDescent="0.35">
      <c r="A53" s="41">
        <v>25</v>
      </c>
      <c r="B53" s="67" t="s">
        <v>353</v>
      </c>
      <c r="C53" s="41" t="s">
        <v>646</v>
      </c>
      <c r="D53" s="41" t="s">
        <v>644</v>
      </c>
      <c r="E53" s="66" t="s">
        <v>643</v>
      </c>
      <c r="F53" s="42" t="s">
        <v>639</v>
      </c>
      <c r="G53" s="42"/>
      <c r="H53" s="42" t="s">
        <v>251</v>
      </c>
      <c r="I53" s="42" t="s">
        <v>243</v>
      </c>
      <c r="J53" s="52" t="str">
        <f t="shared" ref="J53" si="2">VLOOKUP(F53,lstFeatures,1,FALSE)</f>
        <v>case-user-view</v>
      </c>
      <c r="K53" s="42" t="s">
        <v>277</v>
      </c>
      <c r="L53" s="42" t="s">
        <v>645</v>
      </c>
    </row>
    <row r="54" spans="1:12" x14ac:dyDescent="0.35">
      <c r="A54" s="41"/>
      <c r="B54" s="67"/>
      <c r="C54" s="41"/>
      <c r="D54" s="41"/>
      <c r="E54" s="66"/>
      <c r="F54" s="42"/>
      <c r="G54" s="42"/>
      <c r="H54" s="42"/>
      <c r="I54" s="42"/>
      <c r="J54" s="52"/>
      <c r="K54" s="42"/>
      <c r="L54" s="42"/>
    </row>
  </sheetData>
  <autoFilter ref="A3:L52" xr:uid="{826D785D-146F-426D-8D48-E4102E5DF385}">
    <filterColumn colId="11">
      <filters>
        <filter val="Git Hub #550"/>
      </filters>
    </filterColumn>
  </autoFilter>
  <phoneticPr fontId="5" type="noConversion"/>
  <conditionalFormatting sqref="K1:K22 K31:K44 K46:K50 K55:K1048576 K25:K27">
    <cfRule type="cellIs" dxfId="17" priority="12" operator="equal">
      <formula>"TODO"</formula>
    </cfRule>
  </conditionalFormatting>
  <conditionalFormatting sqref="K45">
    <cfRule type="cellIs" dxfId="16" priority="11" operator="equal">
      <formula>"TODO"</formula>
    </cfRule>
  </conditionalFormatting>
  <conditionalFormatting sqref="K30">
    <cfRule type="cellIs" dxfId="15" priority="10" operator="equal">
      <formula>"TODO"</formula>
    </cfRule>
  </conditionalFormatting>
  <conditionalFormatting sqref="K24">
    <cfRule type="cellIs" dxfId="14" priority="9" operator="equal">
      <formula>"TODO"</formula>
    </cfRule>
  </conditionalFormatting>
  <conditionalFormatting sqref="K23">
    <cfRule type="cellIs" dxfId="13" priority="8" operator="equal">
      <formula>"TODO"</formula>
    </cfRule>
  </conditionalFormatting>
  <conditionalFormatting sqref="K29">
    <cfRule type="cellIs" dxfId="12" priority="6" operator="equal">
      <formula>"TODO"</formula>
    </cfRule>
  </conditionalFormatting>
  <conditionalFormatting sqref="K28">
    <cfRule type="cellIs" dxfId="11" priority="5" operator="equal">
      <formula>"TODO"</formula>
    </cfRule>
  </conditionalFormatting>
  <conditionalFormatting sqref="K51">
    <cfRule type="cellIs" dxfId="10" priority="3" operator="equal">
      <formula>"TODO"</formula>
    </cfRule>
  </conditionalFormatting>
  <conditionalFormatting sqref="K52:K54">
    <cfRule type="cellIs" dxfId="9" priority="2" operator="equal">
      <formula>"TODO"</formula>
    </cfRule>
  </conditionalFormatting>
  <dataValidations count="1">
    <dataValidation type="list" allowBlank="1" showInputMessage="1" showErrorMessage="1" sqref="F1:F1048576" xr:uid="{74554F4F-DD40-41CC-8437-380BF10BB6BD}">
      <formula1>lstFeatures</formula1>
    </dataValidation>
  </dataValidations>
  <hyperlinks>
    <hyperlink ref="H30" r:id="rId1" location="/home/workdata/11/1001844/extractionpath/2323" xr:uid="{A601722F-56AC-46C4-A901-41F6A6987387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7965-E34A-4BC6-AD9C-262F45D9F279}">
  <sheetPr>
    <tabColor rgb="FF92D050"/>
  </sheetPr>
  <dimension ref="A1:F7"/>
  <sheetViews>
    <sheetView zoomScale="70" zoomScaleNormal="70" workbookViewId="0"/>
  </sheetViews>
  <sheetFormatPr defaultRowHeight="14.5" x14ac:dyDescent="0.35"/>
  <cols>
    <col min="2" max="2" width="10" bestFit="1" customWidth="1"/>
    <col min="3" max="3" width="19.81640625" bestFit="1" customWidth="1"/>
    <col min="5" max="5" width="54" bestFit="1" customWidth="1"/>
    <col min="6" max="6" width="22.54296875" bestFit="1" customWidth="1"/>
  </cols>
  <sheetData>
    <row r="1" spans="1:6" x14ac:dyDescent="0.35">
      <c r="A1" t="s">
        <v>636</v>
      </c>
    </row>
    <row r="2" spans="1:6" x14ac:dyDescent="0.35">
      <c r="A2" t="s">
        <v>637</v>
      </c>
    </row>
    <row r="3" spans="1:6" x14ac:dyDescent="0.35">
      <c r="A3" t="s">
        <v>635</v>
      </c>
    </row>
    <row r="5" spans="1:6" x14ac:dyDescent="0.35">
      <c r="A5" s="53" t="s">
        <v>316</v>
      </c>
      <c r="B5" s="53" t="s">
        <v>6</v>
      </c>
      <c r="C5" s="54" t="s">
        <v>2</v>
      </c>
      <c r="D5" s="54" t="s">
        <v>165</v>
      </c>
      <c r="E5" s="53" t="s">
        <v>7</v>
      </c>
      <c r="F5" s="53" t="s">
        <v>175</v>
      </c>
    </row>
    <row r="6" spans="1:6" x14ac:dyDescent="0.35">
      <c r="A6" s="42">
        <v>1</v>
      </c>
      <c r="B6" s="41" t="s">
        <v>62</v>
      </c>
      <c r="C6" s="59" t="s">
        <v>149</v>
      </c>
      <c r="D6" s="42" t="s">
        <v>166</v>
      </c>
      <c r="E6" s="42" t="s">
        <v>633</v>
      </c>
      <c r="F6" s="42" t="s">
        <v>631</v>
      </c>
    </row>
    <row r="7" spans="1:6" x14ac:dyDescent="0.35">
      <c r="A7" s="42">
        <v>2</v>
      </c>
      <c r="B7" s="41" t="s">
        <v>62</v>
      </c>
      <c r="C7" s="59" t="s">
        <v>149</v>
      </c>
      <c r="D7" s="42" t="s">
        <v>166</v>
      </c>
      <c r="E7" s="42" t="s">
        <v>634</v>
      </c>
      <c r="F7" s="42" t="s">
        <v>628</v>
      </c>
    </row>
  </sheetData>
  <dataValidations count="1">
    <dataValidation type="list" allowBlank="1" showInputMessage="1" showErrorMessage="1" sqref="F5" xr:uid="{821E4C78-F51B-4398-A530-3B901E761DF4}">
      <formula1>lstFeatures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E9C6-9A4F-41C8-94E3-1634848599B3}">
  <sheetPr>
    <tabColor rgb="FF92D050"/>
  </sheetPr>
  <dimension ref="A1:H23"/>
  <sheetViews>
    <sheetView zoomScale="85" zoomScaleNormal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11" style="69" bestFit="1" customWidth="1"/>
    <col min="2" max="2" width="18.1796875" style="69" customWidth="1"/>
    <col min="3" max="3" width="37.26953125" style="47" customWidth="1"/>
    <col min="4" max="4" width="22.453125" bestFit="1" customWidth="1"/>
    <col min="5" max="5" width="19.54296875" bestFit="1" customWidth="1"/>
    <col min="6" max="6" width="22.453125" bestFit="1" customWidth="1"/>
    <col min="7" max="7" width="8.7265625" customWidth="1"/>
    <col min="8" max="8" width="18.453125" customWidth="1"/>
  </cols>
  <sheetData>
    <row r="1" spans="1:8" x14ac:dyDescent="0.35">
      <c r="A1" s="69" t="s">
        <v>465</v>
      </c>
      <c r="B1" s="69" t="s">
        <v>466</v>
      </c>
    </row>
    <row r="3" spans="1:8" x14ac:dyDescent="0.35">
      <c r="A3" s="53" t="s">
        <v>316</v>
      </c>
      <c r="B3" s="53" t="s">
        <v>442</v>
      </c>
      <c r="C3" s="53" t="s">
        <v>259</v>
      </c>
      <c r="D3" s="53" t="s">
        <v>175</v>
      </c>
      <c r="E3" s="53" t="s">
        <v>234</v>
      </c>
      <c r="F3" s="53" t="s">
        <v>440</v>
      </c>
      <c r="G3" s="53" t="s">
        <v>276</v>
      </c>
      <c r="H3" s="53" t="s">
        <v>441</v>
      </c>
    </row>
    <row r="4" spans="1:8" x14ac:dyDescent="0.35">
      <c r="A4" s="41">
        <v>1</v>
      </c>
      <c r="B4" s="42"/>
      <c r="C4" s="42" t="s">
        <v>448</v>
      </c>
      <c r="D4" s="42" t="s">
        <v>232</v>
      </c>
      <c r="E4" s="42"/>
      <c r="F4" s="42" t="str">
        <f t="shared" ref="F4:F23" si="0">VLOOKUP(D4,lstFeatures,1,FALSE)</f>
        <v>case-list</v>
      </c>
      <c r="G4" s="42"/>
      <c r="H4" s="42"/>
    </row>
    <row r="5" spans="1:8" x14ac:dyDescent="0.35">
      <c r="A5" s="41">
        <v>2</v>
      </c>
      <c r="B5" s="42"/>
      <c r="C5" s="42" t="s">
        <v>449</v>
      </c>
      <c r="D5" s="42" t="s">
        <v>223</v>
      </c>
      <c r="E5" s="42"/>
      <c r="F5" s="42" t="str">
        <f t="shared" si="0"/>
        <v>action-list</v>
      </c>
      <c r="G5" s="42"/>
      <c r="H5" s="42"/>
    </row>
    <row r="6" spans="1:8" ht="15" customHeight="1" x14ac:dyDescent="0.35">
      <c r="A6" s="41">
        <v>3</v>
      </c>
      <c r="B6" s="41"/>
      <c r="C6" s="66" t="s">
        <v>396</v>
      </c>
      <c r="D6" s="42" t="s">
        <v>235</v>
      </c>
      <c r="E6" s="42"/>
      <c r="F6" s="42" t="str">
        <f t="shared" si="0"/>
        <v>action-view</v>
      </c>
      <c r="G6" s="42"/>
      <c r="H6" s="42"/>
    </row>
    <row r="7" spans="1:8" ht="15" customHeight="1" x14ac:dyDescent="0.35">
      <c r="A7" s="41">
        <v>4</v>
      </c>
      <c r="B7" s="41"/>
      <c r="C7" s="66" t="s">
        <v>399</v>
      </c>
      <c r="D7" s="42" t="s">
        <v>235</v>
      </c>
      <c r="E7" s="42"/>
      <c r="F7" s="42" t="str">
        <f t="shared" si="0"/>
        <v>action-view</v>
      </c>
      <c r="G7" s="42"/>
      <c r="H7" s="42"/>
    </row>
    <row r="8" spans="1:8" ht="15" customHeight="1" x14ac:dyDescent="0.35">
      <c r="A8" s="41">
        <v>5</v>
      </c>
      <c r="B8" s="41"/>
      <c r="C8" s="66" t="s">
        <v>402</v>
      </c>
      <c r="D8" s="42" t="s">
        <v>224</v>
      </c>
      <c r="E8" s="42"/>
      <c r="F8" s="42" t="str">
        <f t="shared" si="0"/>
        <v>action-create</v>
      </c>
      <c r="G8" s="42"/>
      <c r="H8" s="42"/>
    </row>
    <row r="9" spans="1:8" x14ac:dyDescent="0.35">
      <c r="A9" s="41">
        <v>6</v>
      </c>
      <c r="B9" s="42"/>
      <c r="C9" s="42" t="s">
        <v>450</v>
      </c>
      <c r="D9" s="42" t="s">
        <v>436</v>
      </c>
      <c r="E9" s="42"/>
      <c r="F9" s="42" t="str">
        <f t="shared" si="0"/>
        <v>outbound_email-list</v>
      </c>
      <c r="G9" s="42"/>
      <c r="H9" s="42"/>
    </row>
    <row r="10" spans="1:8" ht="15" customHeight="1" x14ac:dyDescent="0.35">
      <c r="A10" s="41">
        <v>7</v>
      </c>
      <c r="B10" s="41"/>
      <c r="C10" s="66" t="s">
        <v>406</v>
      </c>
      <c r="D10" s="42" t="s">
        <v>428</v>
      </c>
      <c r="E10" s="42"/>
      <c r="F10" s="42" t="str">
        <f t="shared" si="0"/>
        <v>outbound_email-view</v>
      </c>
      <c r="G10" s="42"/>
      <c r="H10" s="42"/>
    </row>
    <row r="11" spans="1:8" x14ac:dyDescent="0.35">
      <c r="A11" s="41">
        <v>8</v>
      </c>
      <c r="B11" s="42"/>
      <c r="C11" s="42" t="s">
        <v>447</v>
      </c>
      <c r="D11" s="42" t="s">
        <v>385</v>
      </c>
      <c r="E11" s="42"/>
      <c r="F11" s="42" t="str">
        <f t="shared" si="0"/>
        <v>case-user-create</v>
      </c>
      <c r="G11" s="42"/>
      <c r="H11" s="42"/>
    </row>
    <row r="12" spans="1:8" x14ac:dyDescent="0.35">
      <c r="A12" s="41">
        <v>9</v>
      </c>
      <c r="B12" s="42"/>
      <c r="C12" s="66" t="s">
        <v>364</v>
      </c>
      <c r="D12" s="42" t="s">
        <v>274</v>
      </c>
      <c r="E12" s="42"/>
      <c r="F12" s="42" t="str">
        <f t="shared" si="0"/>
        <v>attachment-view</v>
      </c>
      <c r="G12" s="42"/>
      <c r="H12" s="42"/>
    </row>
    <row r="13" spans="1:8" x14ac:dyDescent="0.35">
      <c r="A13" s="41">
        <v>10</v>
      </c>
      <c r="B13" s="42"/>
      <c r="C13" s="66" t="s">
        <v>363</v>
      </c>
      <c r="D13" s="42" t="s">
        <v>274</v>
      </c>
      <c r="E13" s="42"/>
      <c r="F13" s="42" t="str">
        <f t="shared" si="0"/>
        <v>attachment-view</v>
      </c>
      <c r="G13" s="42"/>
      <c r="H13" s="42"/>
    </row>
    <row r="14" spans="1:8" x14ac:dyDescent="0.35">
      <c r="A14" s="41">
        <v>11</v>
      </c>
      <c r="B14" s="41"/>
      <c r="C14" s="66" t="s">
        <v>361</v>
      </c>
      <c r="D14" s="42" t="s">
        <v>236</v>
      </c>
      <c r="E14" s="42"/>
      <c r="F14" s="42" t="str">
        <f t="shared" si="0"/>
        <v>attribute-view</v>
      </c>
      <c r="G14" s="42"/>
      <c r="H14" s="42"/>
    </row>
    <row r="15" spans="1:8" x14ac:dyDescent="0.35">
      <c r="A15" s="41" t="s">
        <v>517</v>
      </c>
      <c r="B15" s="41"/>
      <c r="C15" s="66" t="s">
        <v>513</v>
      </c>
      <c r="D15" s="42" t="s">
        <v>516</v>
      </c>
      <c r="E15" s="42"/>
      <c r="F15" s="42" t="str">
        <f>VLOOKUP(D15,lstFeatures,1,FALSE)</f>
        <v>attribute_source-view</v>
      </c>
      <c r="G15" s="42"/>
      <c r="H15" s="42"/>
    </row>
    <row r="16" spans="1:8" x14ac:dyDescent="0.35">
      <c r="A16" s="41" t="s">
        <v>531</v>
      </c>
      <c r="B16" s="41"/>
      <c r="C16" s="66" t="s">
        <v>534</v>
      </c>
      <c r="D16" s="42" t="s">
        <v>525</v>
      </c>
      <c r="E16" s="42"/>
      <c r="F16" s="42" t="str">
        <f>VLOOKUP(D16,lstFeatures,1,FALSE)</f>
        <v>attribute_annotation-view</v>
      </c>
      <c r="G16" s="42"/>
      <c r="H16" s="42"/>
    </row>
    <row r="17" spans="1:8" x14ac:dyDescent="0.35">
      <c r="A17" s="41" t="s">
        <v>532</v>
      </c>
      <c r="B17" s="41"/>
      <c r="C17" s="66" t="s">
        <v>535</v>
      </c>
      <c r="D17" s="42" t="s">
        <v>528</v>
      </c>
      <c r="E17" s="42"/>
      <c r="F17" s="42" t="str">
        <f>VLOOKUP(D17,lstFeatures,1,FALSE)</f>
        <v>attribute_annotation-delete</v>
      </c>
      <c r="G17" s="42"/>
      <c r="H17" s="42"/>
    </row>
    <row r="18" spans="1:8" x14ac:dyDescent="0.35">
      <c r="A18" s="41" t="s">
        <v>533</v>
      </c>
      <c r="B18" s="41"/>
      <c r="C18" s="66" t="s">
        <v>536</v>
      </c>
      <c r="D18" s="42" t="s">
        <v>530</v>
      </c>
      <c r="E18" s="42"/>
      <c r="F18" s="42" t="str">
        <f>VLOOKUP(D18,lstFeatures,1,FALSE)</f>
        <v>attribute_annotation-create</v>
      </c>
      <c r="G18" s="42"/>
      <c r="H18" s="42"/>
    </row>
    <row r="19" spans="1:8" x14ac:dyDescent="0.35">
      <c r="A19" s="41" t="s">
        <v>546</v>
      </c>
      <c r="B19" s="41"/>
      <c r="C19" s="66" t="s">
        <v>547</v>
      </c>
      <c r="D19" s="42" t="s">
        <v>543</v>
      </c>
      <c r="E19" s="42"/>
      <c r="F19" s="42" t="str">
        <f>VLOOKUP(D19,lstFeatures,1,FALSE)</f>
        <v>attribute_extractionpath-view</v>
      </c>
      <c r="G19" s="42"/>
      <c r="H19" s="42"/>
    </row>
    <row r="20" spans="1:8" x14ac:dyDescent="0.35">
      <c r="A20" s="41">
        <v>12</v>
      </c>
      <c r="B20" s="41"/>
      <c r="C20" s="66" t="s">
        <v>366</v>
      </c>
      <c r="D20" s="42" t="s">
        <v>237</v>
      </c>
      <c r="E20" s="42"/>
      <c r="F20" s="42" t="str">
        <f t="shared" si="0"/>
        <v>attribute-create</v>
      </c>
      <c r="G20" s="42"/>
      <c r="H20" s="42"/>
    </row>
    <row r="21" spans="1:8" x14ac:dyDescent="0.35">
      <c r="A21" s="41">
        <v>13</v>
      </c>
      <c r="B21" s="41"/>
      <c r="C21" s="66" t="s">
        <v>452</v>
      </c>
      <c r="D21" s="42" t="s">
        <v>311</v>
      </c>
      <c r="E21" s="42"/>
      <c r="F21" s="42" t="str">
        <f t="shared" si="0"/>
        <v>case-edit</v>
      </c>
      <c r="G21" s="42"/>
      <c r="H21" s="42"/>
    </row>
    <row r="22" spans="1:8" x14ac:dyDescent="0.35">
      <c r="A22" s="41">
        <v>14</v>
      </c>
      <c r="B22" s="41"/>
      <c r="C22" s="66" t="s">
        <v>249</v>
      </c>
      <c r="D22" s="42" t="s">
        <v>432</v>
      </c>
      <c r="E22" s="42"/>
      <c r="F22" s="42" t="str">
        <f t="shared" si="0"/>
        <v>close_case-edit</v>
      </c>
      <c r="G22" s="42"/>
      <c r="H22" s="42"/>
    </row>
    <row r="23" spans="1:8" x14ac:dyDescent="0.35">
      <c r="A23" s="41">
        <v>15</v>
      </c>
      <c r="B23" s="41"/>
      <c r="C23" s="66" t="s">
        <v>509</v>
      </c>
      <c r="D23" s="42" t="s">
        <v>510</v>
      </c>
      <c r="E23" s="42"/>
      <c r="F23" s="42" t="str">
        <f t="shared" si="0"/>
        <v>queue-create</v>
      </c>
      <c r="G23" s="42"/>
      <c r="H23" s="42"/>
    </row>
  </sheetData>
  <autoFilter ref="A3:H22" xr:uid="{0B35468F-EA57-4B3E-AEE2-A5214F039F55}"/>
  <dataValidations count="1">
    <dataValidation type="list" allowBlank="1" showInputMessage="1" showErrorMessage="1" sqref="D1:D1048576" xr:uid="{3124049C-5369-4CC6-AFA1-82F29930CEEA}">
      <formula1>lstFeatures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DBF1-27CF-4E7C-8F06-DBDD342B48EF}">
  <sheetPr>
    <tabColor theme="5" tint="-0.249977111117893"/>
  </sheetPr>
  <dimension ref="A2:D8"/>
  <sheetViews>
    <sheetView workbookViewId="0">
      <selection activeCell="G19" sqref="G19"/>
    </sheetView>
  </sheetViews>
  <sheetFormatPr defaultRowHeight="14.5" x14ac:dyDescent="0.35"/>
  <cols>
    <col min="1" max="1" width="12.7265625" bestFit="1" customWidth="1"/>
    <col min="2" max="2" width="12" bestFit="1" customWidth="1"/>
    <col min="3" max="4" width="14.7265625" bestFit="1" customWidth="1"/>
  </cols>
  <sheetData>
    <row r="2" spans="1:4" x14ac:dyDescent="0.35">
      <c r="A2" s="86" t="s">
        <v>437</v>
      </c>
      <c r="B2" s="86"/>
      <c r="C2" s="86"/>
      <c r="D2" s="86"/>
    </row>
    <row r="3" spans="1:4" x14ac:dyDescent="0.35">
      <c r="A3" s="68" t="s">
        <v>413</v>
      </c>
      <c r="B3" s="68" t="s">
        <v>414</v>
      </c>
      <c r="C3" s="68" t="s">
        <v>415</v>
      </c>
      <c r="D3" s="68" t="s">
        <v>416</v>
      </c>
    </row>
    <row r="4" spans="1:4" x14ac:dyDescent="0.35">
      <c r="A4" s="42">
        <v>101</v>
      </c>
      <c r="B4" s="42" t="s">
        <v>91</v>
      </c>
      <c r="C4" s="42" t="s">
        <v>417</v>
      </c>
      <c r="D4" s="42" t="s">
        <v>417</v>
      </c>
    </row>
    <row r="5" spans="1:4" x14ac:dyDescent="0.35">
      <c r="A5" s="42">
        <v>102</v>
      </c>
      <c r="B5" s="42" t="s">
        <v>93</v>
      </c>
      <c r="C5" s="42" t="s">
        <v>418</v>
      </c>
      <c r="D5" s="42" t="s">
        <v>418</v>
      </c>
    </row>
    <row r="6" spans="1:4" x14ac:dyDescent="0.35">
      <c r="A6" s="42">
        <v>103</v>
      </c>
      <c r="B6" s="42" t="s">
        <v>92</v>
      </c>
      <c r="C6" s="42" t="s">
        <v>419</v>
      </c>
      <c r="D6" s="42" t="s">
        <v>419</v>
      </c>
    </row>
    <row r="7" spans="1:4" x14ac:dyDescent="0.35">
      <c r="A7" s="42">
        <v>104</v>
      </c>
      <c r="B7" s="42" t="s">
        <v>420</v>
      </c>
      <c r="C7" s="42" t="s">
        <v>421</v>
      </c>
      <c r="D7" s="42" t="s">
        <v>421</v>
      </c>
    </row>
    <row r="8" spans="1:4" x14ac:dyDescent="0.35">
      <c r="A8" s="42">
        <v>105</v>
      </c>
      <c r="B8" s="42" t="s">
        <v>422</v>
      </c>
      <c r="C8" s="42" t="s">
        <v>423</v>
      </c>
      <c r="D8" s="42" t="s">
        <v>423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9CC2-AAF0-4E33-8C37-4CB0EC9DEDDF}">
  <sheetPr>
    <tabColor theme="0" tint="-0.499984740745262"/>
  </sheetPr>
  <dimension ref="A1:M47"/>
  <sheetViews>
    <sheetView topLeftCell="A8" zoomScale="120" zoomScaleNormal="120" workbookViewId="0">
      <selection activeCell="C8" sqref="C8"/>
    </sheetView>
  </sheetViews>
  <sheetFormatPr defaultRowHeight="14.5" x14ac:dyDescent="0.35"/>
  <cols>
    <col min="1" max="1" width="16.81640625" style="1" customWidth="1"/>
    <col min="2" max="2" width="14.54296875" style="1" customWidth="1"/>
    <col min="3" max="3" width="21.453125" bestFit="1" customWidth="1"/>
    <col min="4" max="4" width="35.81640625" bestFit="1" customWidth="1"/>
    <col min="5" max="5" width="11.81640625" customWidth="1"/>
    <col min="6" max="6" width="13.81640625" customWidth="1"/>
    <col min="7" max="7" width="11.81640625" customWidth="1"/>
    <col min="8" max="8" width="10.453125" customWidth="1"/>
    <col min="9" max="9" width="13.81640625" customWidth="1"/>
    <col min="10" max="10" width="22.81640625" customWidth="1"/>
    <col min="11" max="11" width="23.1796875" bestFit="1" customWidth="1"/>
    <col min="12" max="12" width="14.81640625" customWidth="1"/>
    <col min="13" max="13" width="14.54296875" customWidth="1"/>
  </cols>
  <sheetData>
    <row r="1" spans="1:13" x14ac:dyDescent="0.35">
      <c r="A1" s="1" t="s">
        <v>171</v>
      </c>
    </row>
    <row r="4" spans="1:13" x14ac:dyDescent="0.35">
      <c r="E4" s="87" t="s">
        <v>172</v>
      </c>
      <c r="F4" s="87"/>
      <c r="G4" s="87"/>
      <c r="H4" s="87"/>
      <c r="I4" s="1"/>
      <c r="J4" s="1"/>
      <c r="K4" s="1"/>
    </row>
    <row r="5" spans="1:13" x14ac:dyDescent="0.35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  <c r="K5" s="11" t="s">
        <v>183</v>
      </c>
      <c r="L5" s="1" t="s">
        <v>184</v>
      </c>
      <c r="M5" s="1" t="s">
        <v>2</v>
      </c>
    </row>
    <row r="6" spans="1:13" x14ac:dyDescent="0.35">
      <c r="A6" s="23" t="s">
        <v>266</v>
      </c>
      <c r="B6" s="23" t="s">
        <v>199</v>
      </c>
      <c r="C6" s="23" t="str">
        <f t="shared" ref="C6:C46" si="0">A6 &amp; "-" &amp; B6</f>
        <v>core-view</v>
      </c>
      <c r="D6" s="23" t="s">
        <v>267</v>
      </c>
      <c r="E6" s="23">
        <v>3</v>
      </c>
      <c r="F6" s="23">
        <v>3</v>
      </c>
      <c r="G6" s="23">
        <v>3</v>
      </c>
      <c r="H6" s="23">
        <v>3</v>
      </c>
      <c r="I6" s="23"/>
      <c r="J6" s="23"/>
      <c r="K6" s="11"/>
      <c r="L6" s="23"/>
      <c r="M6" s="23"/>
    </row>
    <row r="7" spans="1:13" x14ac:dyDescent="0.35">
      <c r="A7" s="23" t="s">
        <v>266</v>
      </c>
      <c r="B7" s="23" t="s">
        <v>210</v>
      </c>
      <c r="C7" s="23" t="str">
        <f t="shared" si="0"/>
        <v>core-edit</v>
      </c>
      <c r="D7" s="23" t="s">
        <v>267</v>
      </c>
      <c r="E7" s="23">
        <v>3</v>
      </c>
      <c r="F7" s="23">
        <v>3</v>
      </c>
      <c r="G7" s="23">
        <v>3</v>
      </c>
      <c r="H7" s="23">
        <v>3</v>
      </c>
      <c r="I7" s="23"/>
      <c r="J7" s="23"/>
      <c r="K7" s="11"/>
      <c r="L7" s="23"/>
      <c r="M7" s="23"/>
    </row>
    <row r="8" spans="1:13" x14ac:dyDescent="0.35">
      <c r="A8" s="1" t="s">
        <v>62</v>
      </c>
      <c r="B8" s="1" t="s">
        <v>185</v>
      </c>
      <c r="C8" s="1" t="str">
        <f t="shared" si="0"/>
        <v>queue-list</v>
      </c>
      <c r="D8" s="1" t="s">
        <v>186</v>
      </c>
      <c r="E8" s="1">
        <v>3</v>
      </c>
      <c r="F8" s="1">
        <v>3</v>
      </c>
      <c r="G8" s="1" t="s">
        <v>187</v>
      </c>
      <c r="H8" s="1" t="s">
        <v>187</v>
      </c>
      <c r="I8" s="1"/>
      <c r="J8" s="1"/>
      <c r="K8" s="11"/>
      <c r="L8" s="1"/>
    </row>
    <row r="9" spans="1:13" x14ac:dyDescent="0.35">
      <c r="A9" s="1" t="s">
        <v>62</v>
      </c>
      <c r="B9" s="1" t="s">
        <v>188</v>
      </c>
      <c r="C9" s="1" t="str">
        <f t="shared" si="0"/>
        <v>queue-manage</v>
      </c>
      <c r="D9" s="1" t="s">
        <v>189</v>
      </c>
      <c r="E9" s="1">
        <v>3</v>
      </c>
      <c r="F9" s="1">
        <v>3</v>
      </c>
      <c r="G9" s="1" t="s">
        <v>190</v>
      </c>
      <c r="H9" s="1"/>
      <c r="I9" s="1"/>
      <c r="J9" s="1"/>
      <c r="K9" s="11"/>
      <c r="L9" s="1"/>
    </row>
    <row r="10" spans="1:13" x14ac:dyDescent="0.35">
      <c r="A10" s="11" t="s">
        <v>62</v>
      </c>
      <c r="B10" s="11" t="s">
        <v>212</v>
      </c>
      <c r="C10" s="11" t="str">
        <f>A10 &amp; "-" &amp; B10</f>
        <v>queue-delete</v>
      </c>
      <c r="D10" s="11" t="s">
        <v>221</v>
      </c>
      <c r="E10" s="11" t="s">
        <v>187</v>
      </c>
      <c r="F10" s="11" t="s">
        <v>187</v>
      </c>
      <c r="G10" s="19"/>
      <c r="H10" s="19"/>
      <c r="I10" s="19"/>
      <c r="J10" s="19" t="s">
        <v>187</v>
      </c>
      <c r="K10" s="11" t="s">
        <v>187</v>
      </c>
    </row>
    <row r="11" spans="1:13" s="14" customFormat="1" ht="15" thickBot="1" x14ac:dyDescent="0.4">
      <c r="A11" s="12" t="s">
        <v>191</v>
      </c>
      <c r="B11" s="12" t="s">
        <v>185</v>
      </c>
      <c r="C11" s="12" t="str">
        <f t="shared" si="0"/>
        <v>case-list</v>
      </c>
      <c r="D11" s="12" t="s">
        <v>192</v>
      </c>
      <c r="E11" s="12">
        <v>3</v>
      </c>
      <c r="F11" s="12">
        <v>3</v>
      </c>
      <c r="G11" s="12" t="s">
        <v>187</v>
      </c>
      <c r="H11" s="12" t="s">
        <v>187</v>
      </c>
      <c r="I11" s="12"/>
      <c r="J11" s="12"/>
      <c r="K11" s="13"/>
      <c r="L11" s="12"/>
    </row>
    <row r="12" spans="1:13" ht="15" thickBot="1" x14ac:dyDescent="0.4">
      <c r="A12" s="15" t="s">
        <v>191</v>
      </c>
      <c r="B12" s="16" t="s">
        <v>193</v>
      </c>
      <c r="C12" s="16" t="str">
        <f t="shared" si="0"/>
        <v>case-assign-user</v>
      </c>
      <c r="D12" s="16" t="s">
        <v>194</v>
      </c>
      <c r="E12" s="16">
        <v>3</v>
      </c>
      <c r="F12" s="16">
        <v>3</v>
      </c>
      <c r="G12" s="16">
        <v>2</v>
      </c>
      <c r="H12" s="16">
        <v>0</v>
      </c>
      <c r="I12" s="17"/>
      <c r="J12" s="17"/>
      <c r="K12" s="18"/>
      <c r="L12" s="1"/>
    </row>
    <row r="13" spans="1:13" x14ac:dyDescent="0.35">
      <c r="A13" s="1" t="s">
        <v>191</v>
      </c>
      <c r="B13" s="1" t="s">
        <v>195</v>
      </c>
      <c r="C13" s="1" t="str">
        <f t="shared" si="0"/>
        <v>case-reassign-user</v>
      </c>
      <c r="D13" s="1" t="s">
        <v>196</v>
      </c>
      <c r="E13" s="1">
        <v>3</v>
      </c>
      <c r="F13" s="1">
        <v>3</v>
      </c>
      <c r="G13" s="1"/>
      <c r="K13" s="19"/>
      <c r="L13" s="1"/>
    </row>
    <row r="14" spans="1:13" ht="15" thickBot="1" x14ac:dyDescent="0.4">
      <c r="A14" s="10" t="s">
        <v>191</v>
      </c>
      <c r="B14" s="10" t="s">
        <v>313</v>
      </c>
      <c r="C14" s="10" t="str">
        <f t="shared" si="0"/>
        <v>case-reassign-queue</v>
      </c>
      <c r="D14" s="10" t="s">
        <v>312</v>
      </c>
      <c r="E14" s="1">
        <v>3</v>
      </c>
      <c r="F14" s="1">
        <v>3</v>
      </c>
      <c r="G14" s="10"/>
      <c r="H14" s="20"/>
      <c r="I14" s="20"/>
      <c r="J14" s="20"/>
      <c r="K14" s="19"/>
      <c r="L14" s="10"/>
      <c r="M14" s="20"/>
    </row>
    <row r="15" spans="1:13" ht="15" thickBot="1" x14ac:dyDescent="0.4">
      <c r="A15" s="15" t="s">
        <v>191</v>
      </c>
      <c r="B15" s="16" t="s">
        <v>197</v>
      </c>
      <c r="C15" s="16" t="str">
        <f t="shared" si="0"/>
        <v>case-close</v>
      </c>
      <c r="D15" s="16" t="s">
        <v>198</v>
      </c>
      <c r="E15" s="16">
        <v>3</v>
      </c>
      <c r="F15" s="16">
        <v>3</v>
      </c>
      <c r="G15" s="16">
        <v>2</v>
      </c>
      <c r="H15" s="16">
        <v>0</v>
      </c>
      <c r="I15" s="17"/>
      <c r="J15" s="17"/>
      <c r="K15" s="18"/>
      <c r="L15" s="1"/>
    </row>
    <row r="16" spans="1:13" x14ac:dyDescent="0.35">
      <c r="A16" s="1" t="s">
        <v>191</v>
      </c>
      <c r="B16" s="1" t="s">
        <v>199</v>
      </c>
      <c r="C16" s="1" t="str">
        <f t="shared" si="0"/>
        <v>case-view</v>
      </c>
      <c r="D16" s="1" t="s">
        <v>200</v>
      </c>
      <c r="E16" s="1">
        <v>3</v>
      </c>
      <c r="F16" s="1">
        <v>3</v>
      </c>
      <c r="G16" s="1" t="s">
        <v>187</v>
      </c>
      <c r="H16" s="1" t="s">
        <v>187</v>
      </c>
      <c r="I16" s="1"/>
      <c r="J16" s="1"/>
      <c r="K16" s="11"/>
      <c r="L16" s="1"/>
    </row>
    <row r="17" spans="1:12" s="40" customFormat="1" x14ac:dyDescent="0.35">
      <c r="A17" s="34" t="s">
        <v>191</v>
      </c>
      <c r="B17" s="34" t="s">
        <v>203</v>
      </c>
      <c r="C17" s="34" t="str">
        <f t="shared" si="0"/>
        <v>case-create</v>
      </c>
      <c r="D17" s="34" t="s">
        <v>306</v>
      </c>
      <c r="E17" s="34">
        <v>3</v>
      </c>
      <c r="F17" s="34">
        <v>3</v>
      </c>
      <c r="G17" s="34" t="s">
        <v>187</v>
      </c>
      <c r="H17" s="34" t="s">
        <v>187</v>
      </c>
      <c r="I17" s="34"/>
      <c r="J17" s="34"/>
      <c r="K17" s="39"/>
      <c r="L17" s="34"/>
    </row>
    <row r="18" spans="1:12" s="40" customFormat="1" x14ac:dyDescent="0.35">
      <c r="A18" s="34" t="s">
        <v>191</v>
      </c>
      <c r="B18" s="34" t="s">
        <v>212</v>
      </c>
      <c r="C18" s="34" t="str">
        <f t="shared" si="0"/>
        <v>case-delete</v>
      </c>
      <c r="D18" s="34" t="s">
        <v>308</v>
      </c>
      <c r="E18" s="34"/>
      <c r="F18" s="34"/>
      <c r="G18" s="34"/>
      <c r="H18" s="34"/>
      <c r="I18" s="34"/>
      <c r="J18" s="34"/>
      <c r="K18" s="39"/>
      <c r="L18" s="34"/>
    </row>
    <row r="19" spans="1:12" s="40" customFormat="1" x14ac:dyDescent="0.35">
      <c r="A19" s="34" t="s">
        <v>191</v>
      </c>
      <c r="B19" s="34" t="s">
        <v>210</v>
      </c>
      <c r="C19" s="34" t="str">
        <f t="shared" si="0"/>
        <v>case-edit</v>
      </c>
      <c r="D19" s="34" t="s">
        <v>310</v>
      </c>
      <c r="E19" s="34"/>
      <c r="F19" s="34"/>
      <c r="G19" s="34"/>
      <c r="H19" s="34"/>
      <c r="I19" s="34"/>
      <c r="J19" s="34"/>
      <c r="K19" s="39"/>
      <c r="L19" s="34"/>
    </row>
    <row r="20" spans="1:12" x14ac:dyDescent="0.35">
      <c r="A20" s="23" t="s">
        <v>297</v>
      </c>
      <c r="B20" s="23" t="s">
        <v>199</v>
      </c>
      <c r="C20" s="23" t="str">
        <f t="shared" si="0"/>
        <v>audit-case-view</v>
      </c>
      <c r="D20" s="23" t="s">
        <v>201</v>
      </c>
      <c r="E20" s="23"/>
      <c r="F20" s="23"/>
      <c r="G20" s="23"/>
      <c r="H20" s="23"/>
      <c r="I20" s="23"/>
      <c r="J20" s="23"/>
      <c r="K20" s="11"/>
      <c r="L20" s="23"/>
    </row>
    <row r="21" spans="1:12" x14ac:dyDescent="0.35">
      <c r="A21" s="23" t="s">
        <v>297</v>
      </c>
      <c r="B21" s="23" t="s">
        <v>203</v>
      </c>
      <c r="C21" s="23" t="str">
        <f t="shared" si="0"/>
        <v>audit-case-create</v>
      </c>
      <c r="D21" s="23" t="s">
        <v>298</v>
      </c>
      <c r="E21" s="23"/>
      <c r="F21" s="23"/>
      <c r="G21" s="23"/>
      <c r="H21" s="23"/>
      <c r="I21" s="23"/>
      <c r="J21" s="23"/>
      <c r="K21" s="11"/>
      <c r="L21" s="23"/>
    </row>
    <row r="22" spans="1:12" x14ac:dyDescent="0.35">
      <c r="A22" s="23" t="s">
        <v>299</v>
      </c>
      <c r="B22" s="23" t="s">
        <v>199</v>
      </c>
      <c r="C22" s="23" t="str">
        <f t="shared" si="0"/>
        <v>audit-user-view</v>
      </c>
      <c r="D22" s="23" t="s">
        <v>300</v>
      </c>
      <c r="E22" s="23"/>
      <c r="F22" s="23"/>
      <c r="G22" s="23"/>
      <c r="H22" s="23"/>
      <c r="I22" s="23"/>
      <c r="J22" s="23"/>
      <c r="K22" s="11"/>
      <c r="L22" s="23"/>
    </row>
    <row r="23" spans="1:12" x14ac:dyDescent="0.35">
      <c r="A23" s="1" t="s">
        <v>14</v>
      </c>
      <c r="B23" s="1" t="s">
        <v>199</v>
      </c>
      <c r="C23" s="1" t="str">
        <f t="shared" si="0"/>
        <v>attachment-view</v>
      </c>
      <c r="D23" s="1" t="s">
        <v>202</v>
      </c>
      <c r="E23" s="1">
        <v>3</v>
      </c>
      <c r="F23" s="1">
        <v>3</v>
      </c>
      <c r="G23" s="1" t="s">
        <v>187</v>
      </c>
      <c r="H23" s="1" t="s">
        <v>187</v>
      </c>
      <c r="I23" s="1"/>
      <c r="J23" s="1"/>
      <c r="K23" s="11"/>
      <c r="L23" s="1"/>
    </row>
    <row r="24" spans="1:12" x14ac:dyDescent="0.35">
      <c r="A24" s="1" t="s">
        <v>14</v>
      </c>
      <c r="B24" s="1" t="s">
        <v>203</v>
      </c>
      <c r="C24" s="1" t="str">
        <f t="shared" si="0"/>
        <v>attachment-create</v>
      </c>
      <c r="D24" s="1" t="s">
        <v>204</v>
      </c>
      <c r="E24" s="1">
        <v>3</v>
      </c>
      <c r="F24" s="1"/>
      <c r="G24" s="1"/>
      <c r="H24" s="1"/>
      <c r="I24" s="1">
        <v>3</v>
      </c>
      <c r="J24" s="1"/>
      <c r="K24" s="11"/>
      <c r="L24" s="1"/>
    </row>
    <row r="25" spans="1:12" x14ac:dyDescent="0.35">
      <c r="A25" s="23" t="s">
        <v>281</v>
      </c>
      <c r="B25" s="23" t="s">
        <v>199</v>
      </c>
      <c r="C25" s="23" t="str">
        <f t="shared" si="0"/>
        <v>outbound-email-view</v>
      </c>
      <c r="D25" s="23" t="s">
        <v>279</v>
      </c>
      <c r="E25" s="23"/>
      <c r="F25" s="23"/>
      <c r="G25" s="23"/>
      <c r="H25" s="23"/>
      <c r="I25" s="23"/>
      <c r="J25" s="23"/>
      <c r="K25" s="11"/>
      <c r="L25" s="23"/>
    </row>
    <row r="26" spans="1:12" x14ac:dyDescent="0.35">
      <c r="A26" s="23" t="s">
        <v>281</v>
      </c>
      <c r="B26" s="23" t="s">
        <v>203</v>
      </c>
      <c r="C26" s="23" t="str">
        <f t="shared" si="0"/>
        <v>outbound-email-create</v>
      </c>
      <c r="D26" s="23" t="s">
        <v>280</v>
      </c>
      <c r="E26" s="23"/>
      <c r="F26" s="23"/>
      <c r="G26" s="23"/>
      <c r="H26" s="23"/>
      <c r="I26" s="23"/>
      <c r="J26" s="23"/>
      <c r="K26" s="11"/>
      <c r="L26" s="23"/>
    </row>
    <row r="27" spans="1:12" x14ac:dyDescent="0.35">
      <c r="A27" s="23" t="s">
        <v>281</v>
      </c>
      <c r="B27" s="23" t="s">
        <v>212</v>
      </c>
      <c r="C27" s="23" t="str">
        <f t="shared" si="0"/>
        <v>outbound-email-delete</v>
      </c>
      <c r="D27" s="23" t="s">
        <v>146</v>
      </c>
      <c r="E27" s="23"/>
      <c r="F27" s="23"/>
      <c r="G27" s="23"/>
      <c r="H27" s="23"/>
      <c r="I27" s="23"/>
      <c r="J27" s="23"/>
      <c r="K27" s="11"/>
      <c r="L27" s="23"/>
    </row>
    <row r="28" spans="1:12" x14ac:dyDescent="0.35">
      <c r="A28" s="23" t="s">
        <v>281</v>
      </c>
      <c r="B28" s="23" t="s">
        <v>185</v>
      </c>
      <c r="C28" s="23" t="str">
        <f t="shared" si="0"/>
        <v>outbound-email-list</v>
      </c>
      <c r="D28" s="23" t="s">
        <v>285</v>
      </c>
      <c r="E28" s="23"/>
      <c r="F28" s="23"/>
      <c r="G28" s="23"/>
      <c r="H28" s="23"/>
      <c r="I28" s="23"/>
      <c r="J28" s="23"/>
      <c r="K28" s="11"/>
      <c r="L28" s="23"/>
    </row>
    <row r="29" spans="1:12" x14ac:dyDescent="0.35">
      <c r="A29" s="23" t="s">
        <v>281</v>
      </c>
      <c r="B29" s="23" t="s">
        <v>210</v>
      </c>
      <c r="C29" s="23" t="str">
        <f t="shared" si="0"/>
        <v>outbound-email-edit</v>
      </c>
      <c r="D29" s="23" t="s">
        <v>287</v>
      </c>
      <c r="E29" s="23"/>
      <c r="F29" s="23"/>
      <c r="G29" s="23"/>
      <c r="H29" s="23"/>
      <c r="I29" s="23"/>
      <c r="J29" s="23"/>
      <c r="K29" s="11"/>
      <c r="L29" s="23"/>
    </row>
    <row r="30" spans="1:12" s="37" customFormat="1" x14ac:dyDescent="0.35">
      <c r="A30" s="26" t="s">
        <v>205</v>
      </c>
      <c r="B30" s="26" t="s">
        <v>199</v>
      </c>
      <c r="C30" s="26" t="str">
        <f t="shared" si="0"/>
        <v>annotation-view</v>
      </c>
      <c r="D30" s="26" t="s">
        <v>206</v>
      </c>
      <c r="E30" s="26">
        <v>3</v>
      </c>
      <c r="F30" s="26">
        <v>3</v>
      </c>
      <c r="G30" s="26" t="s">
        <v>187</v>
      </c>
      <c r="H30" s="26" t="s">
        <v>187</v>
      </c>
      <c r="I30" s="26"/>
      <c r="J30" s="26"/>
      <c r="K30" s="36"/>
      <c r="L30" s="26"/>
    </row>
    <row r="31" spans="1:12" s="37" customFormat="1" x14ac:dyDescent="0.35">
      <c r="A31" s="26" t="s">
        <v>205</v>
      </c>
      <c r="B31" s="26" t="s">
        <v>203</v>
      </c>
      <c r="C31" s="26" t="str">
        <f t="shared" si="0"/>
        <v>annotation-create</v>
      </c>
      <c r="D31" s="26" t="s">
        <v>207</v>
      </c>
      <c r="E31" s="26">
        <v>3</v>
      </c>
      <c r="F31" s="26">
        <v>3</v>
      </c>
      <c r="G31" s="26" t="s">
        <v>187</v>
      </c>
      <c r="H31" s="26"/>
      <c r="I31" s="26"/>
      <c r="J31" s="26"/>
      <c r="K31" s="36"/>
      <c r="L31" s="26"/>
    </row>
    <row r="32" spans="1:12" x14ac:dyDescent="0.35">
      <c r="A32" s="1" t="s">
        <v>18</v>
      </c>
      <c r="B32" s="1" t="s">
        <v>199</v>
      </c>
      <c r="C32" s="1" t="str">
        <f t="shared" si="0"/>
        <v>attribute-view</v>
      </c>
      <c r="D32" s="1" t="s">
        <v>208</v>
      </c>
      <c r="E32" s="1">
        <v>3</v>
      </c>
      <c r="F32" s="1">
        <v>3</v>
      </c>
      <c r="G32" s="1" t="s">
        <v>187</v>
      </c>
      <c r="H32" s="1" t="s">
        <v>187</v>
      </c>
      <c r="I32" s="1"/>
      <c r="J32" s="1"/>
      <c r="K32" s="11"/>
      <c r="L32" s="1"/>
    </row>
    <row r="33" spans="1:12" x14ac:dyDescent="0.35">
      <c r="A33" s="1" t="s">
        <v>18</v>
      </c>
      <c r="B33" s="1" t="s">
        <v>203</v>
      </c>
      <c r="C33" s="1" t="str">
        <f t="shared" si="0"/>
        <v>attribute-create</v>
      </c>
      <c r="D33" s="1" t="s">
        <v>209</v>
      </c>
      <c r="E33" s="1">
        <v>3</v>
      </c>
      <c r="F33" s="1">
        <v>3</v>
      </c>
      <c r="G33" s="1" t="s">
        <v>187</v>
      </c>
      <c r="H33" s="1"/>
      <c r="I33" s="1"/>
      <c r="J33" s="1"/>
      <c r="K33" s="11"/>
      <c r="L33" s="1"/>
    </row>
    <row r="34" spans="1:12" x14ac:dyDescent="0.35">
      <c r="A34" s="1" t="s">
        <v>18</v>
      </c>
      <c r="B34" s="1" t="s">
        <v>210</v>
      </c>
      <c r="C34" s="1" t="str">
        <f t="shared" si="0"/>
        <v>attribute-edit</v>
      </c>
      <c r="D34" s="1" t="s">
        <v>211</v>
      </c>
      <c r="E34" s="1">
        <v>3</v>
      </c>
      <c r="F34" s="1">
        <v>3</v>
      </c>
      <c r="G34" s="1" t="s">
        <v>187</v>
      </c>
      <c r="H34" s="1"/>
      <c r="I34" s="1"/>
      <c r="J34" s="1"/>
      <c r="K34" s="11"/>
      <c r="L34" s="1"/>
    </row>
    <row r="35" spans="1:12" x14ac:dyDescent="0.35">
      <c r="A35" s="1" t="s">
        <v>18</v>
      </c>
      <c r="B35" s="1" t="s">
        <v>212</v>
      </c>
      <c r="C35" s="1" t="str">
        <f t="shared" si="0"/>
        <v>attribute-delete</v>
      </c>
      <c r="D35" s="1" t="s">
        <v>213</v>
      </c>
      <c r="E35" s="1">
        <v>3</v>
      </c>
      <c r="F35" s="1">
        <v>3</v>
      </c>
      <c r="G35" s="1" t="s">
        <v>187</v>
      </c>
      <c r="K35" s="19"/>
      <c r="L35" s="1"/>
    </row>
    <row r="36" spans="1:12" x14ac:dyDescent="0.35">
      <c r="A36" s="23" t="s">
        <v>18</v>
      </c>
      <c r="B36" s="23" t="s">
        <v>185</v>
      </c>
      <c r="C36" s="23" t="str">
        <f t="shared" si="0"/>
        <v>attribute-list</v>
      </c>
      <c r="D36" s="23" t="s">
        <v>304</v>
      </c>
      <c r="E36" s="23"/>
      <c r="F36" s="23"/>
      <c r="G36" s="23"/>
      <c r="K36" s="19"/>
      <c r="L36" s="23"/>
    </row>
    <row r="37" spans="1:12" x14ac:dyDescent="0.35">
      <c r="A37" s="1" t="s">
        <v>214</v>
      </c>
      <c r="B37" s="1" t="s">
        <v>203</v>
      </c>
      <c r="C37" s="1" t="str">
        <f t="shared" si="0"/>
        <v>reextract-create</v>
      </c>
      <c r="D37" s="1" t="s">
        <v>215</v>
      </c>
      <c r="E37" s="1">
        <v>3</v>
      </c>
      <c r="F37" s="1">
        <v>3</v>
      </c>
      <c r="G37" s="1" t="s">
        <v>187</v>
      </c>
      <c r="K37" s="19"/>
      <c r="L37" s="1"/>
    </row>
    <row r="38" spans="1:12" x14ac:dyDescent="0.35">
      <c r="A38" s="1" t="s">
        <v>214</v>
      </c>
      <c r="B38" s="1" t="s">
        <v>216</v>
      </c>
      <c r="C38" s="1" t="str">
        <f t="shared" si="0"/>
        <v>reextract-accept</v>
      </c>
      <c r="D38" s="1" t="s">
        <v>217</v>
      </c>
      <c r="E38" s="1">
        <v>3</v>
      </c>
      <c r="F38" s="1">
        <v>3</v>
      </c>
      <c r="G38" s="1" t="s">
        <v>187</v>
      </c>
      <c r="K38" s="19"/>
      <c r="L38" s="1"/>
    </row>
    <row r="39" spans="1:12" x14ac:dyDescent="0.35">
      <c r="A39" s="1" t="s">
        <v>3</v>
      </c>
      <c r="B39" s="1" t="s">
        <v>185</v>
      </c>
      <c r="C39" s="1" t="str">
        <f t="shared" si="0"/>
        <v>action-list</v>
      </c>
      <c r="D39" s="1" t="s">
        <v>218</v>
      </c>
      <c r="E39" s="1">
        <v>3</v>
      </c>
      <c r="F39" s="1">
        <v>3</v>
      </c>
      <c r="G39" s="1" t="s">
        <v>187</v>
      </c>
      <c r="H39" s="1" t="s">
        <v>187</v>
      </c>
      <c r="I39" s="1"/>
      <c r="J39" s="1"/>
      <c r="K39" s="11"/>
      <c r="L39" s="1"/>
    </row>
    <row r="40" spans="1:12" x14ac:dyDescent="0.35">
      <c r="A40" s="1" t="s">
        <v>3</v>
      </c>
      <c r="B40" s="1" t="s">
        <v>199</v>
      </c>
      <c r="C40" s="1" t="str">
        <f t="shared" si="0"/>
        <v>action-view</v>
      </c>
      <c r="D40" s="1" t="s">
        <v>219</v>
      </c>
      <c r="E40" s="1">
        <v>3</v>
      </c>
      <c r="F40" s="1">
        <v>3</v>
      </c>
      <c r="G40" s="1" t="s">
        <v>187</v>
      </c>
      <c r="H40" s="1" t="s">
        <v>187</v>
      </c>
      <c r="I40" s="1"/>
      <c r="J40" s="1"/>
      <c r="K40" s="11"/>
      <c r="L40" s="1"/>
    </row>
    <row r="41" spans="1:12" x14ac:dyDescent="0.35">
      <c r="A41" s="1" t="s">
        <v>3</v>
      </c>
      <c r="B41" s="1" t="s">
        <v>203</v>
      </c>
      <c r="C41" s="1" t="str">
        <f t="shared" si="0"/>
        <v>action-create</v>
      </c>
      <c r="D41" s="1" t="s">
        <v>220</v>
      </c>
      <c r="E41" s="1">
        <v>3</v>
      </c>
      <c r="F41" s="1">
        <v>3</v>
      </c>
      <c r="G41" s="1" t="s">
        <v>187</v>
      </c>
      <c r="K41" s="19"/>
      <c r="L41" s="1"/>
    </row>
    <row r="42" spans="1:12" x14ac:dyDescent="0.35">
      <c r="A42" s="23" t="s">
        <v>3</v>
      </c>
      <c r="B42" s="23" t="s">
        <v>210</v>
      </c>
      <c r="C42" s="23" t="str">
        <f t="shared" si="0"/>
        <v>action-edit</v>
      </c>
      <c r="D42" s="23" t="s">
        <v>291</v>
      </c>
      <c r="E42" s="23"/>
      <c r="F42" s="23"/>
      <c r="G42" s="23"/>
      <c r="K42" s="19"/>
      <c r="L42" s="23"/>
    </row>
    <row r="43" spans="1:12" x14ac:dyDescent="0.35">
      <c r="A43" s="23" t="s">
        <v>3</v>
      </c>
      <c r="B43" s="23" t="s">
        <v>212</v>
      </c>
      <c r="C43" s="23" t="str">
        <f t="shared" si="0"/>
        <v>action-delete</v>
      </c>
      <c r="D43" s="23" t="s">
        <v>293</v>
      </c>
      <c r="E43" s="23"/>
      <c r="F43" s="23"/>
      <c r="G43" s="23"/>
      <c r="K43" s="19"/>
      <c r="L43" s="23"/>
    </row>
    <row r="44" spans="1:12" x14ac:dyDescent="0.35">
      <c r="A44" s="1" t="s">
        <v>76</v>
      </c>
      <c r="B44" s="1" t="s">
        <v>199</v>
      </c>
      <c r="C44" s="1" t="str">
        <f t="shared" si="0"/>
        <v>user-view</v>
      </c>
      <c r="D44" s="1" t="s">
        <v>270</v>
      </c>
      <c r="E44" s="1">
        <v>3</v>
      </c>
      <c r="F44" s="1">
        <v>2</v>
      </c>
      <c r="K44" s="19"/>
      <c r="L44" s="1"/>
    </row>
    <row r="45" spans="1:12" x14ac:dyDescent="0.35">
      <c r="A45" s="23" t="s">
        <v>76</v>
      </c>
      <c r="B45" s="23" t="s">
        <v>210</v>
      </c>
      <c r="C45" s="23" t="str">
        <f t="shared" si="0"/>
        <v>user-edit</v>
      </c>
      <c r="D45" s="23" t="s">
        <v>271</v>
      </c>
      <c r="E45" s="23"/>
      <c r="F45" s="23"/>
      <c r="K45" s="19"/>
      <c r="L45" s="23"/>
    </row>
    <row r="46" spans="1:12" x14ac:dyDescent="0.35">
      <c r="A46" s="23" t="s">
        <v>76</v>
      </c>
      <c r="B46" s="23" t="s">
        <v>212</v>
      </c>
      <c r="C46" s="23" t="str">
        <f t="shared" si="0"/>
        <v>user-delete</v>
      </c>
      <c r="D46" s="23" t="s">
        <v>289</v>
      </c>
      <c r="E46" s="23"/>
      <c r="F46" s="23"/>
      <c r="K46" s="19"/>
      <c r="L46" s="23"/>
    </row>
    <row r="47" spans="1:12" x14ac:dyDescent="0.35">
      <c r="A47" s="1" t="s">
        <v>222</v>
      </c>
    </row>
  </sheetData>
  <autoFilter ref="A5:M47" xr:uid="{4A170792-1AC1-4AAE-BDF8-A5284EF11F7B}"/>
  <mergeCells count="1">
    <mergeCell ref="E4:H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C701-B789-46B8-9D7D-88CFB3F6B5AB}">
  <sheetPr filterMode="1">
    <tabColor theme="0" tint="-0.499984740745262"/>
  </sheetPr>
  <dimension ref="A1:L88"/>
  <sheetViews>
    <sheetView topLeftCell="A5" zoomScale="120" zoomScaleNormal="120" workbookViewId="0">
      <selection activeCell="F27" sqref="F27"/>
    </sheetView>
  </sheetViews>
  <sheetFormatPr defaultRowHeight="14.5" x14ac:dyDescent="0.35"/>
  <cols>
    <col min="1" max="1" width="9.1796875" style="23"/>
    <col min="2" max="2" width="21.1796875" bestFit="1" customWidth="1"/>
    <col min="3" max="3" width="41" style="6" customWidth="1"/>
    <col min="4" max="4" width="8" style="6" bestFit="1" customWidth="1"/>
    <col min="5" max="5" width="57.26953125" style="23" customWidth="1"/>
    <col min="6" max="6" width="27.7265625" style="23" customWidth="1"/>
    <col min="7" max="8" width="12.7265625" style="23" customWidth="1"/>
    <col min="9" max="9" width="10" customWidth="1"/>
    <col min="10" max="10" width="10.7265625" style="6" customWidth="1"/>
  </cols>
  <sheetData>
    <row r="1" spans="1:12" s="23" customFormat="1" x14ac:dyDescent="0.35">
      <c r="B1" s="2" t="s">
        <v>6</v>
      </c>
      <c r="C1" s="5" t="s">
        <v>2</v>
      </c>
      <c r="D1" s="5" t="s">
        <v>165</v>
      </c>
      <c r="E1" s="2" t="s">
        <v>7</v>
      </c>
      <c r="F1" s="2" t="s">
        <v>175</v>
      </c>
      <c r="G1" s="2" t="s">
        <v>91</v>
      </c>
      <c r="H1" s="2" t="s">
        <v>92</v>
      </c>
      <c r="I1" s="2" t="s">
        <v>93</v>
      </c>
      <c r="J1" s="5" t="s">
        <v>158</v>
      </c>
      <c r="K1" s="23" t="s">
        <v>234</v>
      </c>
      <c r="L1" s="23" t="s">
        <v>276</v>
      </c>
    </row>
    <row r="2" spans="1:12" x14ac:dyDescent="0.35">
      <c r="A2" s="23">
        <v>1</v>
      </c>
      <c r="B2" s="23" t="s">
        <v>0</v>
      </c>
      <c r="C2" s="6" t="s">
        <v>1</v>
      </c>
      <c r="D2" s="6" t="s">
        <v>166</v>
      </c>
      <c r="E2" s="3" t="s">
        <v>90</v>
      </c>
      <c r="F2" s="3" t="s">
        <v>268</v>
      </c>
      <c r="G2" s="3" t="s">
        <v>94</v>
      </c>
      <c r="H2" s="3" t="s">
        <v>94</v>
      </c>
      <c r="I2" s="23" t="s">
        <v>94</v>
      </c>
      <c r="J2" s="6" t="s">
        <v>159</v>
      </c>
      <c r="L2" t="s">
        <v>277</v>
      </c>
    </row>
    <row r="3" spans="1:12" x14ac:dyDescent="0.35">
      <c r="A3" s="23">
        <v>2</v>
      </c>
      <c r="B3" s="23" t="s">
        <v>3</v>
      </c>
      <c r="C3" s="6" t="s">
        <v>4</v>
      </c>
      <c r="D3" s="6" t="s">
        <v>166</v>
      </c>
      <c r="E3" s="3" t="s">
        <v>5</v>
      </c>
      <c r="F3" s="3" t="s">
        <v>223</v>
      </c>
      <c r="G3" s="3" t="s">
        <v>94</v>
      </c>
      <c r="H3" s="3" t="s">
        <v>94</v>
      </c>
      <c r="I3" s="3" t="s">
        <v>94</v>
      </c>
      <c r="J3" s="6" t="s">
        <v>159</v>
      </c>
      <c r="L3" t="s">
        <v>277</v>
      </c>
    </row>
    <row r="4" spans="1:12" x14ac:dyDescent="0.35">
      <c r="B4" s="23"/>
      <c r="C4" s="6" t="s">
        <v>295</v>
      </c>
      <c r="D4" s="6" t="s">
        <v>166</v>
      </c>
      <c r="E4" s="3" t="s">
        <v>296</v>
      </c>
      <c r="F4" s="3" t="s">
        <v>235</v>
      </c>
      <c r="G4" s="3"/>
      <c r="H4" s="3"/>
      <c r="I4" s="3"/>
      <c r="L4" t="s">
        <v>277</v>
      </c>
    </row>
    <row r="5" spans="1:12" x14ac:dyDescent="0.35">
      <c r="B5" s="23" t="s">
        <v>3</v>
      </c>
      <c r="C5" s="6" t="s">
        <v>4</v>
      </c>
      <c r="D5" s="6" t="s">
        <v>168</v>
      </c>
      <c r="E5" s="3" t="s">
        <v>8</v>
      </c>
      <c r="F5" s="3" t="s">
        <v>224</v>
      </c>
      <c r="G5" s="3" t="s">
        <v>94</v>
      </c>
      <c r="H5" s="3" t="s">
        <v>94</v>
      </c>
      <c r="I5" s="3" t="s">
        <v>94</v>
      </c>
      <c r="J5" s="6" t="s">
        <v>159</v>
      </c>
      <c r="L5" t="s">
        <v>277</v>
      </c>
    </row>
    <row r="6" spans="1:12" x14ac:dyDescent="0.35">
      <c r="B6" s="23" t="s">
        <v>3</v>
      </c>
      <c r="C6" s="6" t="s">
        <v>4</v>
      </c>
      <c r="D6" s="6" t="s">
        <v>170</v>
      </c>
      <c r="E6" s="3" t="s">
        <v>9</v>
      </c>
      <c r="F6" s="3" t="s">
        <v>292</v>
      </c>
      <c r="G6" s="3" t="s">
        <v>94</v>
      </c>
      <c r="H6" s="3" t="s">
        <v>94</v>
      </c>
      <c r="I6" s="3" t="s">
        <v>94</v>
      </c>
      <c r="J6" s="6" t="s">
        <v>159</v>
      </c>
      <c r="L6" t="s">
        <v>277</v>
      </c>
    </row>
    <row r="7" spans="1:12" x14ac:dyDescent="0.35">
      <c r="B7" s="23" t="s">
        <v>3</v>
      </c>
      <c r="C7" s="6" t="s">
        <v>10</v>
      </c>
      <c r="D7" s="6" t="s">
        <v>167</v>
      </c>
      <c r="E7" s="4" t="s">
        <v>11</v>
      </c>
      <c r="F7" s="4" t="s">
        <v>294</v>
      </c>
      <c r="G7" s="4" t="s">
        <v>94</v>
      </c>
      <c r="H7" s="4" t="s">
        <v>94</v>
      </c>
      <c r="I7" s="23" t="s">
        <v>95</v>
      </c>
      <c r="J7" s="6" t="s">
        <v>159</v>
      </c>
      <c r="K7" s="20"/>
      <c r="L7" t="s">
        <v>277</v>
      </c>
    </row>
    <row r="8" spans="1:12" ht="26" x14ac:dyDescent="0.35">
      <c r="B8" s="23" t="s">
        <v>3</v>
      </c>
      <c r="C8" s="6" t="s">
        <v>12</v>
      </c>
      <c r="D8" s="6" t="s">
        <v>166</v>
      </c>
      <c r="E8" s="8" t="s">
        <v>169</v>
      </c>
      <c r="F8" s="8" t="s">
        <v>235</v>
      </c>
      <c r="G8" s="3" t="s">
        <v>94</v>
      </c>
      <c r="H8" s="3" t="s">
        <v>94</v>
      </c>
      <c r="I8" s="3" t="s">
        <v>94</v>
      </c>
      <c r="J8" s="6" t="s">
        <v>164</v>
      </c>
      <c r="L8" t="s">
        <v>277</v>
      </c>
    </row>
    <row r="9" spans="1:12" x14ac:dyDescent="0.35">
      <c r="B9" s="23" t="s">
        <v>3</v>
      </c>
      <c r="C9" s="9" t="s">
        <v>99</v>
      </c>
      <c r="D9" s="9" t="s">
        <v>166</v>
      </c>
      <c r="E9" s="3" t="s">
        <v>100</v>
      </c>
      <c r="F9" s="3" t="s">
        <v>235</v>
      </c>
      <c r="G9" s="3" t="s">
        <v>94</v>
      </c>
      <c r="H9" s="3" t="s">
        <v>94</v>
      </c>
      <c r="I9" s="3" t="s">
        <v>94</v>
      </c>
      <c r="J9" s="6" t="s">
        <v>161</v>
      </c>
      <c r="L9" t="s">
        <v>277</v>
      </c>
    </row>
    <row r="10" spans="1:12" ht="26" x14ac:dyDescent="0.35">
      <c r="B10" s="23" t="s">
        <v>3</v>
      </c>
      <c r="C10" s="9" t="s">
        <v>97</v>
      </c>
      <c r="D10" s="9" t="s">
        <v>166</v>
      </c>
      <c r="E10" s="8" t="s">
        <v>98</v>
      </c>
      <c r="F10" s="8" t="s">
        <v>235</v>
      </c>
      <c r="G10" s="3" t="s">
        <v>94</v>
      </c>
      <c r="H10" s="3" t="s">
        <v>94</v>
      </c>
      <c r="I10" s="3" t="s">
        <v>94</v>
      </c>
      <c r="J10" s="6" t="s">
        <v>161</v>
      </c>
      <c r="L10" t="s">
        <v>277</v>
      </c>
    </row>
    <row r="11" spans="1:12" hidden="1" x14ac:dyDescent="0.35">
      <c r="A11" s="26"/>
      <c r="B11" s="23" t="s">
        <v>3</v>
      </c>
      <c r="C11" s="27" t="s">
        <v>89</v>
      </c>
      <c r="D11" s="27"/>
      <c r="E11" s="28" t="s">
        <v>13</v>
      </c>
      <c r="F11" s="28" t="s">
        <v>235</v>
      </c>
      <c r="G11" s="28" t="s">
        <v>94</v>
      </c>
      <c r="H11" s="28" t="s">
        <v>94</v>
      </c>
      <c r="I11" s="28" t="s">
        <v>94</v>
      </c>
      <c r="J11" s="29" t="s">
        <v>160</v>
      </c>
    </row>
    <row r="12" spans="1:12" x14ac:dyDescent="0.35">
      <c r="A12" s="23">
        <v>3</v>
      </c>
      <c r="B12" s="23" t="s">
        <v>14</v>
      </c>
      <c r="C12" s="7" t="s">
        <v>102</v>
      </c>
      <c r="D12" s="7" t="s">
        <v>166</v>
      </c>
      <c r="E12" s="4" t="s">
        <v>15</v>
      </c>
      <c r="F12" s="4" t="s">
        <v>274</v>
      </c>
      <c r="G12" s="3" t="s">
        <v>94</v>
      </c>
      <c r="H12" s="3" t="s">
        <v>94</v>
      </c>
      <c r="I12" s="3" t="s">
        <v>94</v>
      </c>
      <c r="J12" s="6" t="s">
        <v>162</v>
      </c>
      <c r="L12" t="s">
        <v>277</v>
      </c>
    </row>
    <row r="13" spans="1:12" x14ac:dyDescent="0.35">
      <c r="B13" s="23" t="s">
        <v>14</v>
      </c>
      <c r="C13" s="7" t="s">
        <v>101</v>
      </c>
      <c r="D13" s="7" t="s">
        <v>168</v>
      </c>
      <c r="E13" s="4" t="s">
        <v>16</v>
      </c>
      <c r="F13" s="4" t="s">
        <v>275</v>
      </c>
      <c r="G13" s="3" t="s">
        <v>94</v>
      </c>
      <c r="H13" s="3" t="s">
        <v>94</v>
      </c>
      <c r="I13" s="3" t="s">
        <v>94</v>
      </c>
      <c r="J13" s="6" t="s">
        <v>162</v>
      </c>
      <c r="L13" t="s">
        <v>277</v>
      </c>
    </row>
    <row r="14" spans="1:12" x14ac:dyDescent="0.35">
      <c r="B14" s="23" t="s">
        <v>14</v>
      </c>
      <c r="C14" s="6" t="s">
        <v>103</v>
      </c>
      <c r="D14" s="6" t="s">
        <v>166</v>
      </c>
      <c r="E14" s="4" t="s">
        <v>17</v>
      </c>
      <c r="F14" s="4" t="s">
        <v>274</v>
      </c>
      <c r="G14" s="3" t="s">
        <v>94</v>
      </c>
      <c r="H14" s="3" t="s">
        <v>94</v>
      </c>
      <c r="I14" s="3" t="s">
        <v>94</v>
      </c>
      <c r="J14" s="6" t="s">
        <v>162</v>
      </c>
      <c r="L14" t="s">
        <v>277</v>
      </c>
    </row>
    <row r="15" spans="1:12" x14ac:dyDescent="0.35">
      <c r="B15" s="23" t="s">
        <v>14</v>
      </c>
      <c r="C15" s="9" t="s">
        <v>109</v>
      </c>
      <c r="D15" s="9" t="s">
        <v>168</v>
      </c>
      <c r="E15" s="4" t="s">
        <v>108</v>
      </c>
      <c r="F15" s="4" t="s">
        <v>275</v>
      </c>
      <c r="G15" s="3" t="s">
        <v>94</v>
      </c>
      <c r="H15" s="3" t="s">
        <v>94</v>
      </c>
      <c r="I15" s="3" t="s">
        <v>94</v>
      </c>
      <c r="J15" s="6" t="s">
        <v>161</v>
      </c>
      <c r="L15" t="s">
        <v>277</v>
      </c>
    </row>
    <row r="16" spans="1:12" x14ac:dyDescent="0.35">
      <c r="B16" s="23" t="s">
        <v>14</v>
      </c>
      <c r="C16" s="9" t="s">
        <v>107</v>
      </c>
      <c r="D16" s="9" t="s">
        <v>166</v>
      </c>
      <c r="E16" s="4" t="s">
        <v>106</v>
      </c>
      <c r="F16" s="4" t="s">
        <v>282</v>
      </c>
      <c r="G16" s="3" t="s">
        <v>94</v>
      </c>
      <c r="H16" s="3" t="s">
        <v>94</v>
      </c>
      <c r="I16" s="3" t="s">
        <v>94</v>
      </c>
      <c r="J16" s="6" t="s">
        <v>161</v>
      </c>
      <c r="L16" t="s">
        <v>277</v>
      </c>
    </row>
    <row r="17" spans="1:12" x14ac:dyDescent="0.35">
      <c r="B17" s="23" t="s">
        <v>14</v>
      </c>
      <c r="C17" s="9" t="s">
        <v>105</v>
      </c>
      <c r="D17" s="9" t="s">
        <v>166</v>
      </c>
      <c r="E17" s="4" t="s">
        <v>104</v>
      </c>
      <c r="F17" s="4" t="s">
        <v>282</v>
      </c>
      <c r="G17" s="3" t="s">
        <v>94</v>
      </c>
      <c r="H17" s="3" t="s">
        <v>94</v>
      </c>
      <c r="I17" s="3" t="s">
        <v>94</v>
      </c>
      <c r="J17" s="6" t="s">
        <v>161</v>
      </c>
      <c r="L17" t="s">
        <v>277</v>
      </c>
    </row>
    <row r="18" spans="1:12" hidden="1" x14ac:dyDescent="0.35">
      <c r="A18" s="26">
        <v>4</v>
      </c>
      <c r="B18" s="26" t="s">
        <v>18</v>
      </c>
      <c r="C18" s="30" t="s">
        <v>19</v>
      </c>
      <c r="D18" s="30"/>
      <c r="E18" s="31" t="s">
        <v>20</v>
      </c>
      <c r="F18" s="31" t="s">
        <v>236</v>
      </c>
      <c r="G18" s="28" t="s">
        <v>94</v>
      </c>
      <c r="H18" s="28" t="s">
        <v>94</v>
      </c>
      <c r="I18" s="28" t="s">
        <v>94</v>
      </c>
      <c r="J18" s="29" t="s">
        <v>160</v>
      </c>
    </row>
    <row r="19" spans="1:12" hidden="1" x14ac:dyDescent="0.35">
      <c r="A19" s="26"/>
      <c r="B19" s="26" t="s">
        <v>18</v>
      </c>
      <c r="C19" s="30" t="s">
        <v>21</v>
      </c>
      <c r="D19" s="30"/>
      <c r="E19" s="31" t="s">
        <v>22</v>
      </c>
      <c r="F19" s="31" t="s">
        <v>237</v>
      </c>
      <c r="G19" s="28" t="s">
        <v>94</v>
      </c>
      <c r="H19" s="28" t="s">
        <v>94</v>
      </c>
      <c r="I19" s="28" t="s">
        <v>94</v>
      </c>
      <c r="J19" s="29" t="s">
        <v>160</v>
      </c>
    </row>
    <row r="20" spans="1:12" hidden="1" x14ac:dyDescent="0.35">
      <c r="A20" s="26"/>
      <c r="B20" s="26" t="s">
        <v>18</v>
      </c>
      <c r="C20" s="30" t="s">
        <v>23</v>
      </c>
      <c r="D20" s="30"/>
      <c r="E20" s="31" t="s">
        <v>20</v>
      </c>
      <c r="F20" s="31" t="s">
        <v>236</v>
      </c>
      <c r="G20" s="28" t="s">
        <v>94</v>
      </c>
      <c r="H20" s="28" t="s">
        <v>94</v>
      </c>
      <c r="I20" s="28" t="s">
        <v>94</v>
      </c>
      <c r="J20" s="29" t="s">
        <v>160</v>
      </c>
    </row>
    <row r="21" spans="1:12" hidden="1" x14ac:dyDescent="0.35">
      <c r="A21" s="26"/>
      <c r="B21" s="26" t="s">
        <v>18</v>
      </c>
      <c r="C21" s="30" t="s">
        <v>24</v>
      </c>
      <c r="D21" s="30"/>
      <c r="E21" s="31" t="s">
        <v>25</v>
      </c>
      <c r="F21" s="31" t="s">
        <v>238</v>
      </c>
      <c r="G21" s="31" t="s">
        <v>94</v>
      </c>
      <c r="H21" s="31" t="s">
        <v>94</v>
      </c>
      <c r="I21" s="26" t="s">
        <v>94</v>
      </c>
      <c r="J21" s="29" t="s">
        <v>160</v>
      </c>
    </row>
    <row r="22" spans="1:12" hidden="1" x14ac:dyDescent="0.35">
      <c r="A22" s="26"/>
      <c r="B22" s="26" t="s">
        <v>18</v>
      </c>
      <c r="C22" s="30" t="s">
        <v>26</v>
      </c>
      <c r="D22" s="30"/>
      <c r="E22" s="31" t="s">
        <v>27</v>
      </c>
      <c r="F22" s="31" t="s">
        <v>239</v>
      </c>
      <c r="G22" s="31" t="s">
        <v>94</v>
      </c>
      <c r="H22" s="31" t="s">
        <v>94</v>
      </c>
      <c r="I22" s="26" t="s">
        <v>94</v>
      </c>
      <c r="J22" s="29" t="s">
        <v>160</v>
      </c>
    </row>
    <row r="23" spans="1:12" x14ac:dyDescent="0.35">
      <c r="B23" s="23" t="s">
        <v>18</v>
      </c>
      <c r="C23" s="7" t="s">
        <v>116</v>
      </c>
      <c r="D23" s="7" t="s">
        <v>168</v>
      </c>
      <c r="E23" s="4" t="s">
        <v>117</v>
      </c>
      <c r="F23" s="23" t="s">
        <v>239</v>
      </c>
      <c r="G23" s="4" t="s">
        <v>94</v>
      </c>
      <c r="H23" s="4" t="s">
        <v>94</v>
      </c>
      <c r="I23" s="4" t="s">
        <v>94</v>
      </c>
      <c r="J23" s="6" t="s">
        <v>161</v>
      </c>
      <c r="L23" s="4" t="s">
        <v>277</v>
      </c>
    </row>
    <row r="24" spans="1:12" ht="25" x14ac:dyDescent="0.35">
      <c r="B24" s="23" t="s">
        <v>18</v>
      </c>
      <c r="C24" s="7" t="s">
        <v>128</v>
      </c>
      <c r="D24" s="7" t="s">
        <v>166</v>
      </c>
      <c r="E24" s="4" t="s">
        <v>129</v>
      </c>
      <c r="F24" s="4" t="s">
        <v>236</v>
      </c>
      <c r="G24" s="4" t="s">
        <v>94</v>
      </c>
      <c r="H24" s="4" t="s">
        <v>94</v>
      </c>
      <c r="I24" s="4" t="s">
        <v>94</v>
      </c>
      <c r="J24" s="6" t="s">
        <v>161</v>
      </c>
      <c r="L24" s="4" t="s">
        <v>277</v>
      </c>
    </row>
    <row r="25" spans="1:12" x14ac:dyDescent="0.35">
      <c r="B25" s="23" t="s">
        <v>18</v>
      </c>
      <c r="C25" s="7" t="s">
        <v>132</v>
      </c>
      <c r="D25" s="7" t="s">
        <v>166</v>
      </c>
      <c r="E25" s="4" t="s">
        <v>133</v>
      </c>
      <c r="F25" s="4" t="s">
        <v>236</v>
      </c>
      <c r="G25" s="4" t="s">
        <v>94</v>
      </c>
      <c r="H25" s="4" t="s">
        <v>94</v>
      </c>
      <c r="I25" s="4" t="s">
        <v>94</v>
      </c>
      <c r="J25" s="6" t="s">
        <v>161</v>
      </c>
      <c r="L25" s="4" t="s">
        <v>277</v>
      </c>
    </row>
    <row r="26" spans="1:12" x14ac:dyDescent="0.35">
      <c r="B26" s="23" t="s">
        <v>18</v>
      </c>
      <c r="C26" s="7" t="s">
        <v>134</v>
      </c>
      <c r="D26" s="7" t="s">
        <v>166</v>
      </c>
      <c r="E26" s="4" t="s">
        <v>135</v>
      </c>
      <c r="F26" s="4" t="s">
        <v>236</v>
      </c>
      <c r="G26" s="4" t="s">
        <v>94</v>
      </c>
      <c r="H26" s="4" t="s">
        <v>94</v>
      </c>
      <c r="I26" s="4" t="s">
        <v>94</v>
      </c>
      <c r="J26" s="6" t="s">
        <v>161</v>
      </c>
      <c r="L26" s="4" t="s">
        <v>277</v>
      </c>
    </row>
    <row r="27" spans="1:12" x14ac:dyDescent="0.35">
      <c r="B27" s="23" t="s">
        <v>18</v>
      </c>
      <c r="C27" s="7" t="s">
        <v>130</v>
      </c>
      <c r="D27" s="7" t="s">
        <v>166</v>
      </c>
      <c r="E27" s="4" t="s">
        <v>131</v>
      </c>
      <c r="F27" s="22" t="s">
        <v>305</v>
      </c>
      <c r="G27" s="4" t="s">
        <v>94</v>
      </c>
      <c r="H27" s="4" t="s">
        <v>94</v>
      </c>
      <c r="I27" s="4" t="s">
        <v>94</v>
      </c>
      <c r="J27" s="6" t="s">
        <v>161</v>
      </c>
      <c r="L27" s="4" t="s">
        <v>277</v>
      </c>
    </row>
    <row r="28" spans="1:12" x14ac:dyDescent="0.35">
      <c r="B28" s="23" t="s">
        <v>18</v>
      </c>
      <c r="C28" s="7" t="s">
        <v>126</v>
      </c>
      <c r="D28" s="7" t="s">
        <v>166</v>
      </c>
      <c r="E28" s="4" t="s">
        <v>127</v>
      </c>
      <c r="F28" s="4" t="s">
        <v>236</v>
      </c>
      <c r="G28" s="4" t="s">
        <v>94</v>
      </c>
      <c r="H28" s="4" t="s">
        <v>94</v>
      </c>
      <c r="I28" s="4" t="s">
        <v>94</v>
      </c>
      <c r="J28" s="6" t="s">
        <v>161</v>
      </c>
      <c r="L28" s="4" t="s">
        <v>277</v>
      </c>
    </row>
    <row r="29" spans="1:12" x14ac:dyDescent="0.35">
      <c r="B29" s="23" t="s">
        <v>18</v>
      </c>
      <c r="C29" s="7" t="s">
        <v>124</v>
      </c>
      <c r="D29" s="7" t="s">
        <v>166</v>
      </c>
      <c r="E29" s="4" t="s">
        <v>125</v>
      </c>
      <c r="F29" s="4" t="s">
        <v>236</v>
      </c>
      <c r="G29" s="4" t="s">
        <v>94</v>
      </c>
      <c r="H29" s="4" t="s">
        <v>94</v>
      </c>
      <c r="I29" s="4" t="s">
        <v>94</v>
      </c>
      <c r="J29" s="6" t="s">
        <v>161</v>
      </c>
      <c r="L29" s="4" t="s">
        <v>277</v>
      </c>
    </row>
    <row r="30" spans="1:12" x14ac:dyDescent="0.35">
      <c r="B30" s="23" t="s">
        <v>18</v>
      </c>
      <c r="C30" s="7" t="s">
        <v>122</v>
      </c>
      <c r="D30" s="7" t="s">
        <v>166</v>
      </c>
      <c r="E30" s="4" t="s">
        <v>123</v>
      </c>
      <c r="F30" s="4" t="s">
        <v>236</v>
      </c>
      <c r="G30" s="4" t="s">
        <v>94</v>
      </c>
      <c r="H30" s="4" t="s">
        <v>94</v>
      </c>
      <c r="I30" s="4" t="s">
        <v>94</v>
      </c>
      <c r="J30" s="6" t="s">
        <v>161</v>
      </c>
      <c r="L30" s="4" t="s">
        <v>277</v>
      </c>
    </row>
    <row r="31" spans="1:12" x14ac:dyDescent="0.35">
      <c r="B31" s="23" t="s">
        <v>18</v>
      </c>
      <c r="C31" s="7" t="s">
        <v>120</v>
      </c>
      <c r="D31" s="7" t="s">
        <v>166</v>
      </c>
      <c r="E31" s="4" t="s">
        <v>121</v>
      </c>
      <c r="F31" s="4" t="s">
        <v>236</v>
      </c>
      <c r="G31" s="4" t="s">
        <v>94</v>
      </c>
      <c r="H31" s="4" t="s">
        <v>94</v>
      </c>
      <c r="I31" s="4" t="s">
        <v>94</v>
      </c>
      <c r="J31" s="6" t="s">
        <v>161</v>
      </c>
      <c r="L31" s="4" t="s">
        <v>277</v>
      </c>
    </row>
    <row r="32" spans="1:12" x14ac:dyDescent="0.35">
      <c r="B32" s="23" t="s">
        <v>18</v>
      </c>
      <c r="C32" s="7" t="s">
        <v>118</v>
      </c>
      <c r="D32" s="7" t="s">
        <v>168</v>
      </c>
      <c r="E32" s="4" t="s">
        <v>119</v>
      </c>
      <c r="F32" s="4" t="s">
        <v>238</v>
      </c>
      <c r="G32" s="4" t="s">
        <v>94</v>
      </c>
      <c r="H32" s="4" t="s">
        <v>94</v>
      </c>
      <c r="I32" s="4" t="s">
        <v>94</v>
      </c>
      <c r="J32" s="6" t="s">
        <v>161</v>
      </c>
      <c r="L32" s="4" t="s">
        <v>277</v>
      </c>
    </row>
    <row r="33" spans="1:12" x14ac:dyDescent="0.35">
      <c r="B33" s="23" t="s">
        <v>18</v>
      </c>
      <c r="C33" s="7" t="s">
        <v>114</v>
      </c>
      <c r="D33" s="7" t="s">
        <v>168</v>
      </c>
      <c r="E33" s="4" t="s">
        <v>115</v>
      </c>
      <c r="F33" s="4" t="s">
        <v>237</v>
      </c>
      <c r="G33" s="4" t="s">
        <v>94</v>
      </c>
      <c r="H33" s="4" t="s">
        <v>94</v>
      </c>
      <c r="I33" s="4" t="s">
        <v>94</v>
      </c>
      <c r="J33" s="6" t="s">
        <v>161</v>
      </c>
      <c r="L33" s="4" t="s">
        <v>277</v>
      </c>
    </row>
    <row r="34" spans="1:12" x14ac:dyDescent="0.35">
      <c r="B34" s="23" t="s">
        <v>205</v>
      </c>
      <c r="C34" s="7" t="s">
        <v>110</v>
      </c>
      <c r="D34" s="7" t="s">
        <v>168</v>
      </c>
      <c r="E34" s="4" t="s">
        <v>111</v>
      </c>
      <c r="F34" s="4" t="s">
        <v>237</v>
      </c>
      <c r="G34" s="4" t="s">
        <v>94</v>
      </c>
      <c r="H34" s="4" t="s">
        <v>94</v>
      </c>
      <c r="I34" s="4" t="s">
        <v>94</v>
      </c>
      <c r="J34" s="6" t="s">
        <v>161</v>
      </c>
      <c r="L34" s="4" t="s">
        <v>277</v>
      </c>
    </row>
    <row r="35" spans="1:12" x14ac:dyDescent="0.35">
      <c r="B35" s="23" t="s">
        <v>205</v>
      </c>
      <c r="C35" s="7" t="s">
        <v>112</v>
      </c>
      <c r="D35" s="7" t="s">
        <v>168</v>
      </c>
      <c r="E35" s="4" t="s">
        <v>113</v>
      </c>
      <c r="F35" s="32" t="s">
        <v>305</v>
      </c>
      <c r="G35" s="4" t="s">
        <v>94</v>
      </c>
      <c r="H35" s="4" t="s">
        <v>94</v>
      </c>
      <c r="I35" s="4" t="s">
        <v>94</v>
      </c>
      <c r="J35" s="6" t="s">
        <v>161</v>
      </c>
      <c r="L35" s="4" t="s">
        <v>277</v>
      </c>
    </row>
    <row r="36" spans="1:12" x14ac:dyDescent="0.35">
      <c r="B36" s="23" t="s">
        <v>278</v>
      </c>
      <c r="C36" s="7" t="s">
        <v>136</v>
      </c>
      <c r="D36" s="7" t="s">
        <v>168</v>
      </c>
      <c r="E36" s="4" t="s">
        <v>137</v>
      </c>
      <c r="F36" s="38" t="s">
        <v>237</v>
      </c>
      <c r="G36" s="4" t="s">
        <v>94</v>
      </c>
      <c r="H36" s="4" t="s">
        <v>94</v>
      </c>
      <c r="I36" s="4" t="s">
        <v>94</v>
      </c>
      <c r="J36" s="6" t="s">
        <v>161</v>
      </c>
      <c r="L36" s="4" t="s">
        <v>277</v>
      </c>
    </row>
    <row r="37" spans="1:12" x14ac:dyDescent="0.35">
      <c r="B37" s="23"/>
      <c r="C37" s="7" t="s">
        <v>136</v>
      </c>
      <c r="D37" s="7" t="s">
        <v>168</v>
      </c>
      <c r="E37" s="4" t="s">
        <v>137</v>
      </c>
      <c r="F37" s="38" t="s">
        <v>239</v>
      </c>
      <c r="G37" s="4"/>
      <c r="H37" s="4"/>
      <c r="I37" s="4"/>
      <c r="L37" s="4"/>
    </row>
    <row r="38" spans="1:12" x14ac:dyDescent="0.35">
      <c r="B38" s="23"/>
      <c r="C38" s="7" t="s">
        <v>136</v>
      </c>
      <c r="D38" s="7" t="s">
        <v>168</v>
      </c>
      <c r="E38" s="4" t="s">
        <v>137</v>
      </c>
      <c r="F38" s="38" t="s">
        <v>238</v>
      </c>
      <c r="G38" s="4"/>
      <c r="H38" s="4"/>
      <c r="I38" s="4"/>
      <c r="L38" s="4"/>
    </row>
    <row r="39" spans="1:12" x14ac:dyDescent="0.35">
      <c r="B39" s="23" t="s">
        <v>138</v>
      </c>
      <c r="C39" s="7" t="s">
        <v>139</v>
      </c>
      <c r="D39" s="7" t="s">
        <v>166</v>
      </c>
      <c r="E39" s="4" t="s">
        <v>140</v>
      </c>
      <c r="F39" s="4" t="s">
        <v>302</v>
      </c>
      <c r="G39" s="4" t="s">
        <v>94</v>
      </c>
      <c r="H39" s="4" t="s">
        <v>94</v>
      </c>
      <c r="I39" s="4" t="s">
        <v>94</v>
      </c>
      <c r="J39" s="6" t="s">
        <v>161</v>
      </c>
      <c r="L39" t="s">
        <v>277</v>
      </c>
    </row>
    <row r="40" spans="1:12" x14ac:dyDescent="0.35">
      <c r="B40" s="23" t="s">
        <v>138</v>
      </c>
      <c r="C40" s="7" t="s">
        <v>139</v>
      </c>
      <c r="D40" s="7" t="s">
        <v>168</v>
      </c>
      <c r="E40" s="4" t="s">
        <v>142</v>
      </c>
      <c r="F40" s="4" t="s">
        <v>303</v>
      </c>
      <c r="G40" s="4" t="s">
        <v>94</v>
      </c>
      <c r="H40" s="4" t="s">
        <v>94</v>
      </c>
      <c r="I40" s="4" t="s">
        <v>94</v>
      </c>
      <c r="J40" s="6" t="s">
        <v>161</v>
      </c>
      <c r="L40" t="s">
        <v>277</v>
      </c>
    </row>
    <row r="41" spans="1:12" x14ac:dyDescent="0.35">
      <c r="B41" s="23" t="s">
        <v>138</v>
      </c>
      <c r="C41" s="7" t="s">
        <v>141</v>
      </c>
      <c r="D41" s="7" t="s">
        <v>166</v>
      </c>
      <c r="E41" s="4" t="s">
        <v>140</v>
      </c>
      <c r="F41" s="4" t="s">
        <v>301</v>
      </c>
      <c r="G41" s="4" t="s">
        <v>94</v>
      </c>
      <c r="H41" s="4" t="s">
        <v>94</v>
      </c>
      <c r="I41" s="23" t="s">
        <v>95</v>
      </c>
      <c r="J41" s="6" t="s">
        <v>161</v>
      </c>
      <c r="L41" t="s">
        <v>277</v>
      </c>
    </row>
    <row r="42" spans="1:12" x14ac:dyDescent="0.35">
      <c r="A42" s="23">
        <v>5</v>
      </c>
      <c r="B42" s="23" t="s">
        <v>28</v>
      </c>
      <c r="C42" s="7" t="s">
        <v>29</v>
      </c>
      <c r="D42" s="7" t="s">
        <v>168</v>
      </c>
      <c r="E42" s="4" t="s">
        <v>30</v>
      </c>
      <c r="F42" s="4" t="s">
        <v>268</v>
      </c>
      <c r="G42" s="88" t="s">
        <v>96</v>
      </c>
      <c r="H42" s="88"/>
      <c r="I42" s="88"/>
      <c r="J42" s="6" t="s">
        <v>159</v>
      </c>
      <c r="L42" t="s">
        <v>277</v>
      </c>
    </row>
    <row r="43" spans="1:12" hidden="1" x14ac:dyDescent="0.35">
      <c r="A43" s="26">
        <v>6</v>
      </c>
      <c r="B43" s="26" t="s">
        <v>31</v>
      </c>
      <c r="C43" s="30" t="s">
        <v>32</v>
      </c>
      <c r="D43" s="30"/>
      <c r="E43" s="31" t="s">
        <v>33</v>
      </c>
      <c r="F43" s="31"/>
      <c r="G43" s="28" t="s">
        <v>94</v>
      </c>
      <c r="H43" s="28" t="s">
        <v>94</v>
      </c>
      <c r="I43" s="28" t="s">
        <v>94</v>
      </c>
      <c r="J43" s="29" t="s">
        <v>160</v>
      </c>
    </row>
    <row r="44" spans="1:12" x14ac:dyDescent="0.35">
      <c r="A44" s="23">
        <v>7</v>
      </c>
      <c r="B44" s="23" t="s">
        <v>36</v>
      </c>
      <c r="C44" s="7" t="s">
        <v>34</v>
      </c>
      <c r="D44" s="7" t="s">
        <v>166</v>
      </c>
      <c r="E44" s="4" t="s">
        <v>35</v>
      </c>
      <c r="F44" s="4" t="s">
        <v>232</v>
      </c>
      <c r="G44" s="3" t="s">
        <v>94</v>
      </c>
      <c r="H44" s="3" t="s">
        <v>94</v>
      </c>
      <c r="I44" s="3" t="s">
        <v>94</v>
      </c>
      <c r="J44" s="6" t="s">
        <v>159</v>
      </c>
      <c r="L44" s="3" t="s">
        <v>277</v>
      </c>
    </row>
    <row r="45" spans="1:12" x14ac:dyDescent="0.35">
      <c r="B45" s="23" t="s">
        <v>36</v>
      </c>
      <c r="C45" s="7" t="s">
        <v>34</v>
      </c>
      <c r="D45" s="7" t="s">
        <v>168</v>
      </c>
      <c r="E45" s="4" t="s">
        <v>37</v>
      </c>
      <c r="F45" s="4" t="s">
        <v>307</v>
      </c>
      <c r="G45" s="3" t="s">
        <v>94</v>
      </c>
      <c r="H45" s="3" t="s">
        <v>94</v>
      </c>
      <c r="I45" s="3" t="s">
        <v>94</v>
      </c>
      <c r="J45" s="6" t="s">
        <v>159</v>
      </c>
      <c r="L45" s="3" t="s">
        <v>277</v>
      </c>
    </row>
    <row r="46" spans="1:12" x14ac:dyDescent="0.35">
      <c r="B46" s="23" t="s">
        <v>36</v>
      </c>
      <c r="C46" s="7" t="s">
        <v>38</v>
      </c>
      <c r="D46" s="7" t="s">
        <v>167</v>
      </c>
      <c r="E46" s="4" t="s">
        <v>39</v>
      </c>
      <c r="F46" s="4" t="s">
        <v>309</v>
      </c>
      <c r="G46" s="4" t="s">
        <v>94</v>
      </c>
      <c r="H46" s="4" t="s">
        <v>94</v>
      </c>
      <c r="I46" s="23" t="s">
        <v>95</v>
      </c>
      <c r="J46" s="6" t="s">
        <v>159</v>
      </c>
      <c r="L46" s="3" t="s">
        <v>277</v>
      </c>
    </row>
    <row r="47" spans="1:12" x14ac:dyDescent="0.35">
      <c r="B47" s="23" t="s">
        <v>36</v>
      </c>
      <c r="C47" s="7" t="s">
        <v>40</v>
      </c>
      <c r="D47" s="7" t="s">
        <v>168</v>
      </c>
      <c r="E47" s="4" t="s">
        <v>41</v>
      </c>
      <c r="F47" s="32" t="s">
        <v>241</v>
      </c>
      <c r="G47" s="3" t="s">
        <v>94</v>
      </c>
      <c r="H47" s="3" t="s">
        <v>94</v>
      </c>
      <c r="I47" s="3" t="s">
        <v>94</v>
      </c>
      <c r="J47" s="6" t="s">
        <v>159</v>
      </c>
      <c r="L47" s="3" t="s">
        <v>277</v>
      </c>
    </row>
    <row r="48" spans="1:12" x14ac:dyDescent="0.35">
      <c r="B48" s="23" t="s">
        <v>36</v>
      </c>
      <c r="C48" s="24" t="s">
        <v>42</v>
      </c>
      <c r="D48" s="7" t="s">
        <v>168</v>
      </c>
      <c r="E48" s="4" t="s">
        <v>43</v>
      </c>
      <c r="F48" s="22" t="s">
        <v>311</v>
      </c>
      <c r="G48" s="3" t="s">
        <v>94</v>
      </c>
      <c r="H48" s="3" t="s">
        <v>94</v>
      </c>
      <c r="I48" s="3" t="s">
        <v>94</v>
      </c>
      <c r="J48" s="6" t="s">
        <v>159</v>
      </c>
      <c r="L48" s="3" t="s">
        <v>277</v>
      </c>
    </row>
    <row r="49" spans="1:12" x14ac:dyDescent="0.35">
      <c r="B49" s="23" t="s">
        <v>36</v>
      </c>
      <c r="C49" s="7" t="s">
        <v>44</v>
      </c>
      <c r="D49" s="7" t="s">
        <v>168</v>
      </c>
      <c r="E49" s="4" t="s">
        <v>45</v>
      </c>
      <c r="F49" s="22" t="s">
        <v>311</v>
      </c>
      <c r="G49" s="3" t="s">
        <v>94</v>
      </c>
      <c r="H49" s="3" t="s">
        <v>94</v>
      </c>
      <c r="I49" s="3" t="s">
        <v>94</v>
      </c>
      <c r="J49" s="6" t="s">
        <v>159</v>
      </c>
      <c r="L49" s="3" t="s">
        <v>277</v>
      </c>
    </row>
    <row r="50" spans="1:12" x14ac:dyDescent="0.35">
      <c r="B50" s="23" t="s">
        <v>36</v>
      </c>
      <c r="C50" s="7" t="s">
        <v>46</v>
      </c>
      <c r="D50" s="7" t="s">
        <v>168</v>
      </c>
      <c r="E50" s="4" t="s">
        <v>47</v>
      </c>
      <c r="F50" s="38" t="s">
        <v>250</v>
      </c>
      <c r="G50" s="3" t="s">
        <v>94</v>
      </c>
      <c r="H50" s="3" t="s">
        <v>94</v>
      </c>
      <c r="I50" s="3" t="s">
        <v>94</v>
      </c>
      <c r="J50" s="6" t="s">
        <v>159</v>
      </c>
      <c r="L50" s="3" t="s">
        <v>277</v>
      </c>
    </row>
    <row r="51" spans="1:12" x14ac:dyDescent="0.35">
      <c r="B51" s="23"/>
      <c r="C51" s="7" t="s">
        <v>46</v>
      </c>
      <c r="D51" s="7" t="s">
        <v>168</v>
      </c>
      <c r="E51" s="4" t="s">
        <v>47</v>
      </c>
      <c r="F51" s="38" t="s">
        <v>248</v>
      </c>
      <c r="G51" s="3"/>
      <c r="H51" s="3"/>
      <c r="I51" s="3"/>
      <c r="L51" s="3"/>
    </row>
    <row r="52" spans="1:12" x14ac:dyDescent="0.35">
      <c r="A52" s="23">
        <v>8</v>
      </c>
      <c r="B52" s="23" t="s">
        <v>48</v>
      </c>
      <c r="C52" s="7" t="s">
        <v>49</v>
      </c>
      <c r="D52" s="7" t="s">
        <v>166</v>
      </c>
      <c r="E52" s="4" t="s">
        <v>163</v>
      </c>
      <c r="F52" s="4" t="s">
        <v>282</v>
      </c>
      <c r="G52" s="3" t="s">
        <v>94</v>
      </c>
      <c r="H52" s="3" t="s">
        <v>94</v>
      </c>
      <c r="I52" s="3" t="s">
        <v>94</v>
      </c>
      <c r="J52" s="6" t="s">
        <v>164</v>
      </c>
      <c r="L52" t="s">
        <v>277</v>
      </c>
    </row>
    <row r="53" spans="1:12" x14ac:dyDescent="0.35">
      <c r="B53" s="23" t="s">
        <v>48</v>
      </c>
      <c r="C53" s="7" t="s">
        <v>49</v>
      </c>
      <c r="D53" s="7" t="s">
        <v>170</v>
      </c>
      <c r="E53" s="4" t="s">
        <v>147</v>
      </c>
      <c r="F53" s="4" t="s">
        <v>288</v>
      </c>
      <c r="G53" s="3" t="s">
        <v>94</v>
      </c>
      <c r="H53" s="3" t="s">
        <v>94</v>
      </c>
      <c r="I53" s="3" t="s">
        <v>94</v>
      </c>
      <c r="J53" s="6" t="s">
        <v>161</v>
      </c>
      <c r="L53" t="s">
        <v>277</v>
      </c>
    </row>
    <row r="54" spans="1:12" x14ac:dyDescent="0.35">
      <c r="B54" s="23" t="s">
        <v>48</v>
      </c>
      <c r="C54" s="7" t="s">
        <v>49</v>
      </c>
      <c r="D54" s="7" t="s">
        <v>168</v>
      </c>
      <c r="E54" s="4" t="s">
        <v>143</v>
      </c>
      <c r="F54" s="4" t="s">
        <v>283</v>
      </c>
      <c r="G54" s="3" t="s">
        <v>94</v>
      </c>
      <c r="H54" s="3" t="s">
        <v>94</v>
      </c>
      <c r="I54" s="3" t="s">
        <v>94</v>
      </c>
      <c r="J54" s="6" t="s">
        <v>161</v>
      </c>
      <c r="L54" t="s">
        <v>277</v>
      </c>
    </row>
    <row r="55" spans="1:12" x14ac:dyDescent="0.35">
      <c r="B55" s="23" t="s">
        <v>48</v>
      </c>
      <c r="C55" s="7" t="s">
        <v>50</v>
      </c>
      <c r="D55" s="7" t="s">
        <v>167</v>
      </c>
      <c r="E55" s="4" t="s">
        <v>146</v>
      </c>
      <c r="F55" s="4" t="s">
        <v>284</v>
      </c>
      <c r="G55" s="4" t="s">
        <v>94</v>
      </c>
      <c r="H55" s="4" t="s">
        <v>94</v>
      </c>
      <c r="I55" s="23" t="s">
        <v>95</v>
      </c>
      <c r="J55" s="6" t="s">
        <v>164</v>
      </c>
      <c r="L55" t="s">
        <v>277</v>
      </c>
    </row>
    <row r="56" spans="1:12" ht="25" x14ac:dyDescent="0.35">
      <c r="B56" s="23" t="s">
        <v>48</v>
      </c>
      <c r="C56" s="7" t="s">
        <v>51</v>
      </c>
      <c r="D56" s="7" t="s">
        <v>166</v>
      </c>
      <c r="E56" s="4" t="s">
        <v>144</v>
      </c>
      <c r="F56" s="4" t="s">
        <v>282</v>
      </c>
      <c r="G56" s="3" t="s">
        <v>94</v>
      </c>
      <c r="H56" s="3" t="s">
        <v>94</v>
      </c>
      <c r="I56" s="3" t="s">
        <v>94</v>
      </c>
      <c r="J56" s="6" t="s">
        <v>164</v>
      </c>
      <c r="L56" t="s">
        <v>277</v>
      </c>
    </row>
    <row r="57" spans="1:12" x14ac:dyDescent="0.35">
      <c r="B57" s="23" t="s">
        <v>48</v>
      </c>
      <c r="C57" s="7" t="s">
        <v>51</v>
      </c>
      <c r="D57" s="7" t="s">
        <v>168</v>
      </c>
      <c r="E57" s="4" t="s">
        <v>145</v>
      </c>
      <c r="F57" s="4" t="s">
        <v>283</v>
      </c>
      <c r="G57" s="3" t="s">
        <v>94</v>
      </c>
      <c r="H57" s="3" t="s">
        <v>94</v>
      </c>
      <c r="I57" s="3" t="s">
        <v>94</v>
      </c>
      <c r="J57" s="6" t="s">
        <v>161</v>
      </c>
      <c r="L57" t="s">
        <v>277</v>
      </c>
    </row>
    <row r="58" spans="1:12" hidden="1" x14ac:dyDescent="0.35">
      <c r="A58" s="26"/>
      <c r="B58" s="23" t="s">
        <v>48</v>
      </c>
      <c r="C58" s="30" t="s">
        <v>52</v>
      </c>
      <c r="D58" s="30"/>
      <c r="E58" s="31" t="s">
        <v>53</v>
      </c>
      <c r="F58" s="31"/>
      <c r="G58" s="28" t="s">
        <v>94</v>
      </c>
      <c r="H58" s="28" t="s">
        <v>94</v>
      </c>
      <c r="I58" s="28" t="s">
        <v>94</v>
      </c>
      <c r="J58" s="29" t="s">
        <v>160</v>
      </c>
    </row>
    <row r="59" spans="1:12" hidden="1" x14ac:dyDescent="0.35">
      <c r="A59" s="26"/>
      <c r="B59" s="23" t="s">
        <v>48</v>
      </c>
      <c r="C59" s="30" t="s">
        <v>54</v>
      </c>
      <c r="D59" s="30"/>
      <c r="E59" s="31" t="s">
        <v>55</v>
      </c>
      <c r="F59" s="31"/>
      <c r="G59" s="28" t="s">
        <v>94</v>
      </c>
      <c r="H59" s="28" t="s">
        <v>94</v>
      </c>
      <c r="I59" s="28" t="s">
        <v>94</v>
      </c>
      <c r="J59" s="29" t="s">
        <v>160</v>
      </c>
    </row>
    <row r="60" spans="1:12" x14ac:dyDescent="0.35">
      <c r="B60" s="23" t="s">
        <v>48</v>
      </c>
      <c r="C60" s="7" t="s">
        <v>56</v>
      </c>
      <c r="D60" s="7" t="s">
        <v>166</v>
      </c>
      <c r="E60" s="4" t="s">
        <v>57</v>
      </c>
      <c r="F60" s="4" t="s">
        <v>286</v>
      </c>
      <c r="G60" s="3" t="s">
        <v>94</v>
      </c>
      <c r="H60" s="3" t="s">
        <v>94</v>
      </c>
      <c r="I60" s="3" t="s">
        <v>94</v>
      </c>
      <c r="J60" s="6" t="s">
        <v>159</v>
      </c>
      <c r="L60" t="s">
        <v>277</v>
      </c>
    </row>
    <row r="61" spans="1:12" hidden="1" x14ac:dyDescent="0.35">
      <c r="A61" s="26"/>
      <c r="B61" s="23" t="s">
        <v>48</v>
      </c>
      <c r="C61" s="30" t="s">
        <v>58</v>
      </c>
      <c r="D61" s="30"/>
      <c r="E61" s="31" t="s">
        <v>59</v>
      </c>
      <c r="F61" s="31"/>
      <c r="G61" s="28" t="s">
        <v>94</v>
      </c>
      <c r="H61" s="28" t="s">
        <v>94</v>
      </c>
      <c r="I61" s="28" t="s">
        <v>94</v>
      </c>
      <c r="J61" s="29" t="s">
        <v>160</v>
      </c>
    </row>
    <row r="62" spans="1:12" x14ac:dyDescent="0.35">
      <c r="A62" s="23">
        <v>9</v>
      </c>
      <c r="B62" s="23" t="s">
        <v>62</v>
      </c>
      <c r="C62" s="7" t="s">
        <v>60</v>
      </c>
      <c r="D62" s="7" t="s">
        <v>166</v>
      </c>
      <c r="E62" s="4" t="s">
        <v>61</v>
      </c>
      <c r="F62" s="4" t="s">
        <v>228</v>
      </c>
      <c r="G62" s="3" t="s">
        <v>94</v>
      </c>
      <c r="H62" s="3" t="s">
        <v>94</v>
      </c>
      <c r="I62" s="3" t="s">
        <v>94</v>
      </c>
      <c r="J62" s="6" t="s">
        <v>159</v>
      </c>
      <c r="L62" s="3" t="s">
        <v>277</v>
      </c>
    </row>
    <row r="63" spans="1:12" x14ac:dyDescent="0.35">
      <c r="B63" s="23" t="s">
        <v>62</v>
      </c>
      <c r="C63" s="7" t="s">
        <v>148</v>
      </c>
      <c r="D63" s="7" t="s">
        <v>166</v>
      </c>
      <c r="E63" s="4" t="s">
        <v>151</v>
      </c>
      <c r="F63" s="4" t="s">
        <v>228</v>
      </c>
      <c r="G63" s="3" t="s">
        <v>94</v>
      </c>
      <c r="H63" s="3" t="s">
        <v>94</v>
      </c>
      <c r="I63" s="3" t="s">
        <v>94</v>
      </c>
      <c r="J63" s="6" t="s">
        <v>161</v>
      </c>
      <c r="L63" s="3" t="s">
        <v>277</v>
      </c>
    </row>
    <row r="64" spans="1:12" x14ac:dyDescent="0.35">
      <c r="B64" s="23" t="s">
        <v>62</v>
      </c>
      <c r="C64" s="7" t="s">
        <v>149</v>
      </c>
      <c r="D64" s="7" t="s">
        <v>166</v>
      </c>
      <c r="E64" s="4" t="s">
        <v>150</v>
      </c>
      <c r="F64" s="4" t="s">
        <v>248</v>
      </c>
      <c r="G64" s="3" t="s">
        <v>94</v>
      </c>
      <c r="H64" s="3" t="s">
        <v>94</v>
      </c>
      <c r="I64" s="3" t="s">
        <v>94</v>
      </c>
      <c r="J64" s="6" t="s">
        <v>161</v>
      </c>
      <c r="L64" s="3" t="s">
        <v>277</v>
      </c>
    </row>
    <row r="65" spans="1:12" x14ac:dyDescent="0.35">
      <c r="A65" s="23">
        <v>10</v>
      </c>
      <c r="B65" s="23" t="s">
        <v>63</v>
      </c>
      <c r="C65" s="7" t="s">
        <v>64</v>
      </c>
      <c r="D65" s="7" t="s">
        <v>168</v>
      </c>
      <c r="E65" s="4" t="s">
        <v>65</v>
      </c>
      <c r="F65" s="4" t="s">
        <v>272</v>
      </c>
      <c r="G65" s="3" t="s">
        <v>94</v>
      </c>
      <c r="H65" s="3" t="s">
        <v>94</v>
      </c>
      <c r="I65" s="23" t="s">
        <v>95</v>
      </c>
      <c r="J65" s="6" t="s">
        <v>159</v>
      </c>
      <c r="L65" t="s">
        <v>277</v>
      </c>
    </row>
    <row r="66" spans="1:12" x14ac:dyDescent="0.35">
      <c r="B66" s="23" t="s">
        <v>63</v>
      </c>
      <c r="C66" s="7" t="s">
        <v>64</v>
      </c>
      <c r="D66" s="7" t="s">
        <v>167</v>
      </c>
      <c r="E66" s="4" t="s">
        <v>66</v>
      </c>
      <c r="F66" s="4" t="s">
        <v>290</v>
      </c>
      <c r="G66" s="4" t="s">
        <v>94</v>
      </c>
      <c r="H66" s="3" t="s">
        <v>94</v>
      </c>
      <c r="I66" s="23" t="s">
        <v>95</v>
      </c>
      <c r="J66" s="6" t="s">
        <v>159</v>
      </c>
      <c r="L66" t="s">
        <v>277</v>
      </c>
    </row>
    <row r="67" spans="1:12" x14ac:dyDescent="0.35">
      <c r="A67" s="23">
        <v>11</v>
      </c>
      <c r="B67" s="23" t="s">
        <v>67</v>
      </c>
      <c r="C67" s="7" t="s">
        <v>68</v>
      </c>
      <c r="D67" s="7" t="s">
        <v>166</v>
      </c>
      <c r="E67" s="4" t="s">
        <v>69</v>
      </c>
      <c r="F67" s="4" t="s">
        <v>268</v>
      </c>
      <c r="G67" s="3" t="s">
        <v>94</v>
      </c>
      <c r="H67" s="3" t="s">
        <v>94</v>
      </c>
      <c r="I67" s="3" t="s">
        <v>94</v>
      </c>
      <c r="J67" s="6" t="s">
        <v>159</v>
      </c>
      <c r="L67" t="s">
        <v>277</v>
      </c>
    </row>
    <row r="68" spans="1:12" x14ac:dyDescent="0.35">
      <c r="B68" s="23" t="s">
        <v>67</v>
      </c>
      <c r="C68" s="7" t="s">
        <v>152</v>
      </c>
      <c r="D68" s="7" t="s">
        <v>170</v>
      </c>
      <c r="E68" s="4" t="s">
        <v>153</v>
      </c>
      <c r="F68" s="4" t="s">
        <v>269</v>
      </c>
      <c r="G68" s="3" t="s">
        <v>94</v>
      </c>
      <c r="H68" s="3" t="s">
        <v>94</v>
      </c>
      <c r="I68" s="3" t="s">
        <v>94</v>
      </c>
      <c r="J68" s="6" t="s">
        <v>161</v>
      </c>
      <c r="L68" t="s">
        <v>277</v>
      </c>
    </row>
    <row r="69" spans="1:12" x14ac:dyDescent="0.35">
      <c r="A69" s="23">
        <v>12</v>
      </c>
      <c r="B69" s="23" t="s">
        <v>70</v>
      </c>
      <c r="C69" s="7" t="s">
        <v>154</v>
      </c>
      <c r="D69" s="7" t="s">
        <v>166</v>
      </c>
      <c r="E69" s="4" t="s">
        <v>71</v>
      </c>
      <c r="F69" s="4" t="s">
        <v>282</v>
      </c>
      <c r="G69" s="3" t="s">
        <v>94</v>
      </c>
      <c r="H69" s="3" t="s">
        <v>94</v>
      </c>
      <c r="I69" s="3" t="s">
        <v>94</v>
      </c>
      <c r="J69" s="6" t="s">
        <v>162</v>
      </c>
      <c r="L69" t="s">
        <v>277</v>
      </c>
    </row>
    <row r="70" spans="1:12" x14ac:dyDescent="0.35">
      <c r="B70" s="23" t="s">
        <v>70</v>
      </c>
      <c r="C70" s="7" t="s">
        <v>155</v>
      </c>
      <c r="D70" s="7" t="s">
        <v>166</v>
      </c>
      <c r="E70" s="4" t="s">
        <v>156</v>
      </c>
      <c r="F70" s="4" t="s">
        <v>282</v>
      </c>
      <c r="G70" s="3" t="s">
        <v>94</v>
      </c>
      <c r="H70" s="3" t="s">
        <v>94</v>
      </c>
      <c r="I70" s="3" t="s">
        <v>94</v>
      </c>
      <c r="J70" s="6" t="s">
        <v>161</v>
      </c>
      <c r="L70" t="s">
        <v>277</v>
      </c>
    </row>
    <row r="71" spans="1:12" hidden="1" x14ac:dyDescent="0.35">
      <c r="A71" s="26"/>
      <c r="B71" s="23" t="s">
        <v>70</v>
      </c>
      <c r="C71" s="35" t="s">
        <v>72</v>
      </c>
      <c r="D71" s="30"/>
      <c r="E71" s="31" t="s">
        <v>73</v>
      </c>
      <c r="F71" s="31"/>
      <c r="G71" s="31" t="s">
        <v>94</v>
      </c>
      <c r="H71" s="31" t="s">
        <v>94</v>
      </c>
      <c r="I71" s="26" t="s">
        <v>95</v>
      </c>
      <c r="J71" s="29" t="s">
        <v>160</v>
      </c>
    </row>
    <row r="72" spans="1:12" hidden="1" x14ac:dyDescent="0.35">
      <c r="A72" s="26"/>
      <c r="B72" s="23" t="s">
        <v>70</v>
      </c>
      <c r="C72" s="35" t="s">
        <v>74</v>
      </c>
      <c r="D72" s="30"/>
      <c r="E72" s="31" t="s">
        <v>75</v>
      </c>
      <c r="F72" s="31"/>
      <c r="G72" s="28" t="s">
        <v>94</v>
      </c>
      <c r="H72" s="28" t="s">
        <v>94</v>
      </c>
      <c r="I72" s="28" t="s">
        <v>94</v>
      </c>
      <c r="J72" s="29" t="s">
        <v>160</v>
      </c>
    </row>
    <row r="73" spans="1:12" hidden="1" x14ac:dyDescent="0.35">
      <c r="A73" s="26">
        <v>13</v>
      </c>
      <c r="B73" s="26" t="s">
        <v>76</v>
      </c>
      <c r="C73" s="33" t="s">
        <v>77</v>
      </c>
      <c r="D73" s="30"/>
      <c r="E73" s="31" t="s">
        <v>78</v>
      </c>
      <c r="F73" s="31" t="s">
        <v>242</v>
      </c>
      <c r="G73" s="31" t="s">
        <v>94</v>
      </c>
      <c r="H73" s="31" t="s">
        <v>94</v>
      </c>
      <c r="I73" s="26" t="s">
        <v>95</v>
      </c>
      <c r="J73" s="29" t="s">
        <v>160</v>
      </c>
    </row>
    <row r="74" spans="1:12" x14ac:dyDescent="0.35">
      <c r="B74" s="34" t="s">
        <v>76</v>
      </c>
      <c r="C74" s="33" t="s">
        <v>77</v>
      </c>
      <c r="D74" s="7" t="s">
        <v>170</v>
      </c>
      <c r="E74" s="4" t="s">
        <v>79</v>
      </c>
      <c r="F74" s="4" t="s">
        <v>272</v>
      </c>
      <c r="G74" s="4" t="s">
        <v>94</v>
      </c>
      <c r="H74" s="4" t="s">
        <v>94</v>
      </c>
      <c r="I74" s="23" t="s">
        <v>95</v>
      </c>
      <c r="J74" s="6" t="s">
        <v>159</v>
      </c>
      <c r="L74" t="s">
        <v>277</v>
      </c>
    </row>
    <row r="75" spans="1:12" x14ac:dyDescent="0.35">
      <c r="B75" s="34" t="s">
        <v>76</v>
      </c>
      <c r="C75" s="7" t="s">
        <v>157</v>
      </c>
      <c r="D75" s="7" t="s">
        <v>168</v>
      </c>
      <c r="E75" s="4" t="s">
        <v>78</v>
      </c>
      <c r="F75" s="4" t="s">
        <v>269</v>
      </c>
      <c r="G75" s="88" t="s">
        <v>96</v>
      </c>
      <c r="H75" s="88"/>
      <c r="I75" s="88"/>
      <c r="J75" s="6" t="s">
        <v>161</v>
      </c>
      <c r="L75" t="s">
        <v>277</v>
      </c>
    </row>
    <row r="76" spans="1:12" x14ac:dyDescent="0.35">
      <c r="B76" s="34" t="s">
        <v>76</v>
      </c>
      <c r="C76" s="7" t="s">
        <v>77</v>
      </c>
      <c r="D76" s="7" t="s">
        <v>166</v>
      </c>
      <c r="E76" s="4" t="s">
        <v>80</v>
      </c>
      <c r="F76" s="4" t="s">
        <v>273</v>
      </c>
      <c r="G76" s="3" t="s">
        <v>94</v>
      </c>
      <c r="H76" s="3" t="s">
        <v>94</v>
      </c>
      <c r="I76" s="3" t="s">
        <v>94</v>
      </c>
      <c r="J76" s="6" t="s">
        <v>162</v>
      </c>
      <c r="L76" t="s">
        <v>277</v>
      </c>
    </row>
    <row r="77" spans="1:12" x14ac:dyDescent="0.35">
      <c r="B77" s="34" t="s">
        <v>76</v>
      </c>
      <c r="C77" s="7" t="s">
        <v>81</v>
      </c>
      <c r="D77" s="7" t="s">
        <v>166</v>
      </c>
      <c r="E77" s="4" t="s">
        <v>82</v>
      </c>
      <c r="F77" s="32" t="s">
        <v>273</v>
      </c>
      <c r="G77" s="3" t="s">
        <v>94</v>
      </c>
      <c r="H77" s="3" t="s">
        <v>94</v>
      </c>
      <c r="I77" s="3" t="s">
        <v>95</v>
      </c>
      <c r="J77" s="6" t="s">
        <v>159</v>
      </c>
      <c r="L77" t="s">
        <v>277</v>
      </c>
    </row>
    <row r="78" spans="1:12" x14ac:dyDescent="0.35">
      <c r="B78" s="34" t="s">
        <v>76</v>
      </c>
      <c r="C78" s="7" t="s">
        <v>81</v>
      </c>
      <c r="D78" s="7" t="s">
        <v>168</v>
      </c>
      <c r="E78" s="4" t="s">
        <v>83</v>
      </c>
      <c r="F78" s="32" t="s">
        <v>272</v>
      </c>
      <c r="G78" s="4" t="s">
        <v>94</v>
      </c>
      <c r="H78" s="4" t="s">
        <v>94</v>
      </c>
      <c r="I78" s="23" t="s">
        <v>95</v>
      </c>
      <c r="J78" s="6" t="s">
        <v>159</v>
      </c>
      <c r="L78" t="s">
        <v>277</v>
      </c>
    </row>
    <row r="79" spans="1:12" x14ac:dyDescent="0.35">
      <c r="B79" s="34" t="s">
        <v>76</v>
      </c>
      <c r="C79" s="7" t="s">
        <v>84</v>
      </c>
      <c r="D79" s="7" t="s">
        <v>167</v>
      </c>
      <c r="E79" s="4" t="s">
        <v>85</v>
      </c>
      <c r="F79" s="32" t="s">
        <v>272</v>
      </c>
      <c r="G79" s="4" t="s">
        <v>94</v>
      </c>
      <c r="H79" s="4" t="s">
        <v>94</v>
      </c>
      <c r="I79" s="23" t="s">
        <v>95</v>
      </c>
      <c r="J79" s="6" t="s">
        <v>159</v>
      </c>
      <c r="L79" t="s">
        <v>277</v>
      </c>
    </row>
    <row r="80" spans="1:12" x14ac:dyDescent="0.35">
      <c r="A80" s="23">
        <v>14</v>
      </c>
      <c r="B80" s="23" t="s">
        <v>86</v>
      </c>
      <c r="C80" s="7" t="s">
        <v>87</v>
      </c>
      <c r="D80" s="7" t="s">
        <v>166</v>
      </c>
      <c r="E80" s="4" t="s">
        <v>88</v>
      </c>
      <c r="F80" s="4" t="s">
        <v>268</v>
      </c>
      <c r="G80" s="3" t="s">
        <v>94</v>
      </c>
      <c r="H80" s="3" t="s">
        <v>94</v>
      </c>
      <c r="I80" s="3" t="s">
        <v>94</v>
      </c>
      <c r="J80" s="6" t="s">
        <v>159</v>
      </c>
      <c r="L80" t="s">
        <v>277</v>
      </c>
    </row>
    <row r="81" spans="1:9" x14ac:dyDescent="0.35">
      <c r="A81"/>
      <c r="B81" s="23"/>
      <c r="I81" s="23"/>
    </row>
    <row r="82" spans="1:9" x14ac:dyDescent="0.35">
      <c r="A82"/>
      <c r="B82" s="23"/>
      <c r="I82" s="23"/>
    </row>
    <row r="83" spans="1:9" x14ac:dyDescent="0.35">
      <c r="A83"/>
      <c r="B83" s="23"/>
      <c r="I83" s="23"/>
    </row>
    <row r="84" spans="1:9" x14ac:dyDescent="0.35">
      <c r="A84"/>
      <c r="B84" s="23"/>
      <c r="I84" s="23"/>
    </row>
    <row r="87" spans="1:9" x14ac:dyDescent="0.35">
      <c r="E87" s="23" t="s">
        <v>314</v>
      </c>
    </row>
    <row r="88" spans="1:9" x14ac:dyDescent="0.35">
      <c r="E88" s="23" t="s">
        <v>315</v>
      </c>
    </row>
  </sheetData>
  <autoFilter ref="A1:L80" xr:uid="{E9E77194-E4D5-44D2-9A49-D0F6324E4EA9}">
    <filterColumn colId="9">
      <filters blank="1">
        <filter val="Added"/>
        <filter val="Modified"/>
        <filter val="modified description"/>
        <filter val="Same"/>
      </filters>
    </filterColumn>
  </autoFilter>
  <mergeCells count="2">
    <mergeCell ref="G42:I42"/>
    <mergeCell ref="G75:I75"/>
  </mergeCells>
  <conditionalFormatting sqref="G42 G43:I74 G76:I1048576 L44 L63:L64 G1:I41 L23:L38">
    <cfRule type="cellIs" dxfId="8" priority="9" operator="equal">
      <formula>"NO"</formula>
    </cfRule>
  </conditionalFormatting>
  <conditionalFormatting sqref="G75">
    <cfRule type="cellIs" dxfId="7" priority="8" operator="equal">
      <formula>"NO"</formula>
    </cfRule>
  </conditionalFormatting>
  <conditionalFormatting sqref="L46">
    <cfRule type="cellIs" dxfId="6" priority="6" operator="equal">
      <formula>"NO"</formula>
    </cfRule>
  </conditionalFormatting>
  <conditionalFormatting sqref="L45">
    <cfRule type="cellIs" dxfId="5" priority="7" operator="equal">
      <formula>"NO"</formula>
    </cfRule>
  </conditionalFormatting>
  <conditionalFormatting sqref="L47">
    <cfRule type="cellIs" dxfId="4" priority="5" operator="equal">
      <formula>"NO"</formula>
    </cfRule>
  </conditionalFormatting>
  <conditionalFormatting sqref="L48">
    <cfRule type="cellIs" dxfId="3" priority="4" operator="equal">
      <formula>"NO"</formula>
    </cfRule>
  </conditionalFormatting>
  <conditionalFormatting sqref="L49">
    <cfRule type="cellIs" dxfId="2" priority="3" operator="equal">
      <formula>"NO"</formula>
    </cfRule>
  </conditionalFormatting>
  <conditionalFormatting sqref="L50:L51">
    <cfRule type="cellIs" dxfId="1" priority="2" operator="equal">
      <formula>"NO"</formula>
    </cfRule>
  </conditionalFormatting>
  <conditionalFormatting sqref="L62">
    <cfRule type="cellIs" dxfId="0" priority="1" operator="equal">
      <formula>"NO"</formula>
    </cfRule>
  </conditionalFormatting>
  <dataValidations count="1">
    <dataValidation type="list" allowBlank="1" showInputMessage="1" showErrorMessage="1" sqref="F2:F1048576" xr:uid="{721AB7E5-8713-4D7E-A975-E7DB38F7222D}">
      <formula1>lstFeatures</formula1>
    </dataValidation>
  </dataValidations>
  <hyperlinks>
    <hyperlink ref="C12" r:id="rId1" location="/operations/attachment/getAttachmentListUsingGET" display="http://localhost:8080/docwb/swagger/index.html - /operations/attachment/getAttachmentListUsingGET" xr:uid="{9CF48E82-4657-418F-8B68-9189AB93EA26}"/>
    <hyperlink ref="C13" r:id="rId2" location="/operations/attachment/addAttachmentUsingPOST" display="http://localhost:8080/docwb/swagger/index.html - /operations/attachment/addAttachmentUsingPOST" xr:uid="{5F46A350-5123-4DE3-8703-797B098DB8C7}"/>
    <hyperlink ref="C18" r:id="rId3" location="/operations/attribute/getAttributesUsingGET" display="http://localhost:8080/docwb/swagger/index.html - /operations/attribute/getAttributesUsingGET" xr:uid="{6FDDE9C5-0FB6-46F1-8971-9DE2B90A0791}"/>
    <hyperlink ref="C19" r:id="rId4" location="/operations/attribute/insertAttributeUsingPOST" display="http://localhost:8080/docwb/swagger/index.html - /operations/attribute/insertAttributeUsingPOST" xr:uid="{4E179630-0B14-446B-8716-9B7B225AF75F}"/>
    <hyperlink ref="C20" r:id="rId5" location="/operations/attribute/getAttributeListUsingGET" display="http://localhost:8080/docwb/swagger/index.html - /operations/attribute/getAttributeListUsingGET" xr:uid="{C9B42701-150C-4003-A7F3-E98CAD83771E}"/>
    <hyperlink ref="C21" r:id="rId6" location="/operations/attribute/deleteAttributeUsingPOST" display="http://localhost:8080/docwb/swagger/index.html - /operations/attribute/deleteAttributeUsingPOST" xr:uid="{BBA0C104-CA8B-4A7D-AF30-CF8A3E537F87}"/>
    <hyperlink ref="C22" r:id="rId7" location="/operations/attribute/updateAttributeUsingPOST" display="http://localhost:8080/docwb/swagger/index.html - /operations/attribute/updateAttributeUsingPOST" xr:uid="{36904629-1CA7-4DE0-B9EE-9F88098A4951}"/>
    <hyperlink ref="C42" r:id="rId8" location="/operations/auth/getAuthTokenUsingGET" display="http://localhost:8080/docwb/swagger/index.html - /operations/auth/getAuthTokenUsingGET" xr:uid="{400C61DF-F19F-4D1B-9F8A-0C5270DC110F}"/>
    <hyperlink ref="C43" r:id="rId9" location="/operations/category/getCategoryUsingGET" display="http://localhost:8080/docwb/swagger/index.html - /operations/category/getCategoryUsingGET" xr:uid="{734D38BB-6EB2-4267-83CE-EC311DF6EE1E}"/>
    <hyperlink ref="C44" r:id="rId10" location="/operations/document/getDocumentListUsingGET" display="http://localhost:8080/docwb/swagger/index.html - /operations/document/getDocumentListUsingGET" xr:uid="{C01FDF4E-95DF-466F-A9B3-122F351F3476}"/>
    <hyperlink ref="C45" r:id="rId11" location="/operations/document/addDocumentUsingPOST" display="http://localhost:8080/docwb/swagger/index.html - /operations/document/addDocumentUsingPOST" xr:uid="{239F40D3-54F6-4367-8D5F-6BDC8361C5F6}"/>
    <hyperlink ref="C46" r:id="rId12" location="/operations/document/deleteDocumentUsingDELETE_1" display="http://localhost:8080/docwb/swagger/index.html - /operations/document/deleteDocumentUsingDELETE_1" xr:uid="{2CB20D23-B948-463D-B870-F5201D41B534}"/>
    <hyperlink ref="C47" r:id="rId13" location="/operations/document/closeCaseForDocUsingPOST" display="http://localhost:8080/docwb/swagger/index.html - /operations/document/closeCaseForDocUsingPOST" xr:uid="{DC882693-2DF9-4D31-B4C8-25526262DF56}"/>
    <hyperlink ref="C49" r:id="rId14" location="/operations/document/updateDocActionStatusUsingPOST" display="http://localhost:8080/docwb/swagger/index.html - /operations/document/updateDocActionStatusUsingPOST" xr:uid="{25641938-39E5-44B0-ADE2-9C55F95B55C4}"/>
    <hyperlink ref="C50" r:id="rId15" location="/operations/document/addUserDocRelationshipUsingPOST" display="http://localhost:8080/docwb/swagger/index.html - /operations/document/addUserDocRelationshipUsingPOST" xr:uid="{5E06426D-03B9-477F-9875-1A47885D00B7}"/>
    <hyperlink ref="C52" r:id="rId16" location="/operations/email/getEmailSentListUsingGET" display="http://localhost:8080/docwb/swagger/index.html - /operations/email/getEmailSentListUsingGET" xr:uid="{842A0D67-B5D8-47EA-AC7F-3AAC5BB35F7F}"/>
    <hyperlink ref="C55" r:id="rId17" location="/operations/email/deleteEmailUsingDELETE" display="http://localhost:8080/docwb/swagger/index.html - /operations/email/deleteEmailUsingDELETE" xr:uid="{6B7EDDA4-081C-41FF-867C-046BA715D609}"/>
    <hyperlink ref="C56" r:id="rId18" location="/operations/email/getDraftEmailUsingGET" display="http://localhost:8080/docwb/swagger/index.html - /operations/email/getDraftEmailUsingGET" xr:uid="{5333AD06-049F-4DAA-A995-29FC5DCDCF8A}"/>
    <hyperlink ref="C58" r:id="rId19" location="/operations/email/insertDraftEmailUsingPOST" display="http://localhost:8080/docwb/swagger/index.html - /operations/email/insertDraftEmailUsingPOST" xr:uid="{D4C9AACB-9146-43B3-819A-17031760A772}"/>
    <hyperlink ref="C59" r:id="rId20" location="/operations/email/insertSentEmailUsingPOST" display="http://localhost:8080/docwb/swagger/index.html - /operations/email/insertSentEmailUsingPOST" xr:uid="{353EA6A7-9F6F-46B4-95CE-77D9D2424A8F}"/>
    <hyperlink ref="C60" r:id="rId21" location="/operations/email/getEmailSentListByTaskStatusUsingGET" display="http://localhost:8080/docwb/swagger/index.html - /operations/email/getEmailSentListByTaskStatusUsingGET" xr:uid="{48CCD6D3-0D04-4612-8A8E-DA974B2714A7}"/>
    <hyperlink ref="C61" r:id="rId22" location="/operations/email/updateEmailTaskStatusUsingPOST" display="http://localhost:8080/docwb/swagger/index.html - /operations/email/updateEmailTaskStatusUsingPOST" xr:uid="{CD64D916-FB7B-4C31-97EE-01DF63704631}"/>
    <hyperlink ref="C62" r:id="rId23" location="/operations/queue/getDocumentCountUsingGET" display="http://localhost:8080/docwb/swagger/index.html - /operations/queue/getDocumentCountUsingGET" xr:uid="{820C9C5F-EF85-4C7D-A80E-90148439BB87}"/>
    <hyperlink ref="C65" r:id="rId24" location="/operations/role/assignRoleUsingPOST" display="http://localhost:8080/docwb/swagger/index.html - /operations/role/assignRoleUsingPOST" xr:uid="{3FBFBDEB-1066-4F63-908A-DC49AE89B7DE}"/>
    <hyperlink ref="C66" r:id="rId25" location="/operations/role/deleteRoleUsingDELETE" display="http://localhost:8080/docwb/swagger/index.html - /operations/role/deleteRoleUsingDELETE" xr:uid="{60B4259E-E77A-4B48-8AC3-38287EFA4052}"/>
    <hyperlink ref="C67" r:id="rId26" location="/operations/session/getLoggedInUserDetailsUsingGET" display="http://localhost:8080/docwb/swagger/index.html - /operations/session/getLoggedInUserDetailsUsingGET" xr:uid="{935A2018-ABD0-479F-A417-3B20BF0D16DD}"/>
    <hyperlink ref="C69" r:id="rId27" location="/operations/template/getTemplateListUsingGET_1" display="http://localhost:8080/docwb/swagger/index.html - /operations/template/getTemplateListUsingGET_1" xr:uid="{C8F0332B-9FD0-4529-8F14-151B25335EFA}"/>
    <hyperlink ref="C76" r:id="rId28" location="/operations/user/getListOfUsersUsingGET" display="http://localhost:8080/docwb/swagger/index.html - /operations/user/getListOfUsersUsingGET" xr:uid="{1EED63ED-0A14-48CE-82D1-7ADEA449E933}"/>
    <hyperlink ref="C77" r:id="rId29" location="/operations/user/getQueueListForUserUsingGET" display="http://localhost:8080/docwb/swagger/index.html - /operations/user/getQueueListForUserUsingGET" xr:uid="{9B1D645F-4AB3-49DD-96AE-88FF5C73D9B3}"/>
    <hyperlink ref="C78" r:id="rId30" location="/operations/user/addUserQueueRelationshipUsingPOST" display="http://localhost:8080/docwb/swagger/index.html - /operations/user/addUserQueueRelationshipUsingPOST" xr:uid="{E512C4F7-6772-4829-A137-9BF14A461524}"/>
    <hyperlink ref="C79" r:id="rId31" location="/operations/user/deleteUserQueueRelationshipUsingDELETE" display="http://localhost:8080/docwb/swagger/index.html - /operations/user/deleteUserQueueRelationshipUsingDELETE" xr:uid="{5C26989A-9BDD-4BBA-9F61-74C1CDD4F4A0}"/>
    <hyperlink ref="C80" r:id="rId32" location="/operations/val/getValTableDataUsingGET" display="http://localhost:8080/docwb/swagger/index.html - /operations/val/getValTableDataUsingGET" xr:uid="{8569213A-AD85-493D-AFAC-4D1BC531F923}"/>
    <hyperlink ref="C57" r:id="rId33" location="/operations/email/getDraftEmailUsingGET" display="http://localhost:8080/docwb/swagger/index.html - /operations/email/getDraftEmailUsingGET" xr:uid="{DED8C31A-BD4C-4E32-8609-56B7DB7CE7CC}"/>
    <hyperlink ref="C48" r:id="rId34" location="/operations/document/insertDocEventTypeUsingPOST" display="http://localhost:8080/docwb/swagger/index.html - /operations/document/insertDocEventTypeUsingPOST" xr:uid="{BE4F4628-194A-478D-97C8-79792623168F}"/>
    <hyperlink ref="C51" r:id="rId35" location="/operations/document/addUserDocRelationshipUsingPOST" display="http://localhost:8080/docwb/swagger/index.html - /operations/document/addUserDocRelationshipUsingPOST" xr:uid="{6E71FD06-00E2-4920-9BEC-EE873116406D}"/>
  </hyperlinks>
  <pageMargins left="0.7" right="0.7" top="0.75" bottom="0.75" header="0.3" footer="0.3"/>
  <pageSetup orientation="portrait" horizontalDpi="90" verticalDpi="90" r:id="rId3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57BD-BBD0-4993-94F8-37AF43A10269}">
  <sheetPr>
    <tabColor theme="0" tint="-0.499984740745262"/>
  </sheetPr>
  <dimension ref="B1:F20"/>
  <sheetViews>
    <sheetView zoomScale="120" zoomScaleNormal="120" workbookViewId="0">
      <selection activeCell="C19" sqref="C19"/>
    </sheetView>
  </sheetViews>
  <sheetFormatPr defaultRowHeight="14.5" x14ac:dyDescent="0.35"/>
  <cols>
    <col min="2" max="2" width="9.1796875" style="25"/>
    <col min="3" max="3" width="52.7265625" bestFit="1" customWidth="1"/>
    <col min="4" max="4" width="15.81640625" customWidth="1"/>
    <col min="5" max="5" width="35.81640625" customWidth="1"/>
    <col min="6" max="6" width="26.26953125" customWidth="1"/>
  </cols>
  <sheetData>
    <row r="1" spans="2:6" x14ac:dyDescent="0.35">
      <c r="B1" s="25" t="s">
        <v>227</v>
      </c>
      <c r="C1" t="s">
        <v>226</v>
      </c>
      <c r="D1" t="s">
        <v>233</v>
      </c>
      <c r="E1" t="s">
        <v>259</v>
      </c>
      <c r="F1" t="s">
        <v>175</v>
      </c>
    </row>
    <row r="2" spans="2:6" x14ac:dyDescent="0.35">
      <c r="B2" s="25">
        <v>1</v>
      </c>
      <c r="C2" s="21" t="s">
        <v>225</v>
      </c>
      <c r="D2" t="s">
        <v>243</v>
      </c>
      <c r="E2" t="s">
        <v>229</v>
      </c>
      <c r="F2" t="s">
        <v>228</v>
      </c>
    </row>
    <row r="3" spans="2:6" x14ac:dyDescent="0.35">
      <c r="C3" s="21" t="s">
        <v>230</v>
      </c>
      <c r="D3" t="s">
        <v>243</v>
      </c>
      <c r="E3" t="s">
        <v>231</v>
      </c>
      <c r="F3" t="s">
        <v>232</v>
      </c>
    </row>
    <row r="4" spans="2:6" x14ac:dyDescent="0.35">
      <c r="C4" s="21" t="s">
        <v>245</v>
      </c>
      <c r="D4" t="s">
        <v>243</v>
      </c>
      <c r="E4" t="s">
        <v>200</v>
      </c>
      <c r="F4" t="s">
        <v>244</v>
      </c>
    </row>
    <row r="5" spans="2:6" x14ac:dyDescent="0.35">
      <c r="C5" t="s">
        <v>246</v>
      </c>
      <c r="D5" t="s">
        <v>243</v>
      </c>
      <c r="E5" t="s">
        <v>247</v>
      </c>
      <c r="F5" t="s">
        <v>232</v>
      </c>
    </row>
    <row r="6" spans="2:6" x14ac:dyDescent="0.35">
      <c r="C6" t="s">
        <v>246</v>
      </c>
      <c r="D6" t="s">
        <v>243</v>
      </c>
      <c r="E6" t="s">
        <v>249</v>
      </c>
      <c r="F6" t="s">
        <v>241</v>
      </c>
    </row>
    <row r="7" spans="2:6" x14ac:dyDescent="0.35">
      <c r="C7" t="s">
        <v>246</v>
      </c>
      <c r="D7" t="s">
        <v>243</v>
      </c>
      <c r="E7" t="s">
        <v>196</v>
      </c>
      <c r="F7" t="s">
        <v>248</v>
      </c>
    </row>
    <row r="8" spans="2:6" x14ac:dyDescent="0.35">
      <c r="C8" t="s">
        <v>246</v>
      </c>
      <c r="D8" t="s">
        <v>243</v>
      </c>
      <c r="E8" t="s">
        <v>265</v>
      </c>
      <c r="F8" t="s">
        <v>244</v>
      </c>
    </row>
    <row r="9" spans="2:6" x14ac:dyDescent="0.35">
      <c r="C9" t="s">
        <v>230</v>
      </c>
      <c r="D9" t="s">
        <v>243</v>
      </c>
      <c r="E9" t="s">
        <v>264</v>
      </c>
      <c r="F9" t="s">
        <v>250</v>
      </c>
    </row>
    <row r="10" spans="2:6" x14ac:dyDescent="0.35">
      <c r="C10" t="s">
        <v>251</v>
      </c>
      <c r="D10" t="s">
        <v>243</v>
      </c>
      <c r="E10" t="s">
        <v>208</v>
      </c>
      <c r="F10" t="s">
        <v>236</v>
      </c>
    </row>
    <row r="11" spans="2:6" x14ac:dyDescent="0.35">
      <c r="C11" t="s">
        <v>252</v>
      </c>
      <c r="D11" t="s">
        <v>243</v>
      </c>
      <c r="E11" t="s">
        <v>218</v>
      </c>
      <c r="F11" t="s">
        <v>223</v>
      </c>
    </row>
    <row r="12" spans="2:6" x14ac:dyDescent="0.35">
      <c r="C12" t="s">
        <v>251</v>
      </c>
      <c r="D12" t="s">
        <v>243</v>
      </c>
      <c r="E12" t="s">
        <v>201</v>
      </c>
      <c r="F12" t="s">
        <v>253</v>
      </c>
    </row>
    <row r="13" spans="2:6" x14ac:dyDescent="0.35">
      <c r="C13" t="s">
        <v>254</v>
      </c>
      <c r="D13" t="s">
        <v>243</v>
      </c>
      <c r="E13" t="s">
        <v>209</v>
      </c>
      <c r="F13" t="s">
        <v>237</v>
      </c>
    </row>
    <row r="14" spans="2:6" x14ac:dyDescent="0.35">
      <c r="C14" t="s">
        <v>255</v>
      </c>
      <c r="D14" t="s">
        <v>243</v>
      </c>
      <c r="E14" t="s">
        <v>213</v>
      </c>
      <c r="F14" t="s">
        <v>238</v>
      </c>
    </row>
    <row r="15" spans="2:6" x14ac:dyDescent="0.35">
      <c r="C15" t="s">
        <v>254</v>
      </c>
      <c r="D15" t="s">
        <v>243</v>
      </c>
      <c r="E15" t="s">
        <v>206</v>
      </c>
      <c r="F15" t="s">
        <v>240</v>
      </c>
    </row>
    <row r="16" spans="2:6" x14ac:dyDescent="0.35">
      <c r="C16" t="s">
        <v>257</v>
      </c>
      <c r="D16" t="s">
        <v>256</v>
      </c>
      <c r="E16" t="s">
        <v>260</v>
      </c>
      <c r="F16" t="s">
        <v>242</v>
      </c>
    </row>
    <row r="17" spans="3:6" x14ac:dyDescent="0.35">
      <c r="C17" t="s">
        <v>257</v>
      </c>
      <c r="D17" t="s">
        <v>256</v>
      </c>
      <c r="E17" t="s">
        <v>258</v>
      </c>
      <c r="F17" t="s">
        <v>242</v>
      </c>
    </row>
    <row r="18" spans="3:6" x14ac:dyDescent="0.35">
      <c r="C18" t="s">
        <v>257</v>
      </c>
      <c r="D18" t="s">
        <v>256</v>
      </c>
      <c r="E18" t="s">
        <v>261</v>
      </c>
      <c r="F18" t="s">
        <v>242</v>
      </c>
    </row>
    <row r="19" spans="3:6" x14ac:dyDescent="0.35">
      <c r="C19" t="s">
        <v>257</v>
      </c>
      <c r="D19" t="s">
        <v>256</v>
      </c>
      <c r="E19" t="s">
        <v>262</v>
      </c>
      <c r="F19" t="s">
        <v>242</v>
      </c>
    </row>
    <row r="20" spans="3:6" x14ac:dyDescent="0.35">
      <c r="C20" t="s">
        <v>257</v>
      </c>
      <c r="D20" t="s">
        <v>256</v>
      </c>
      <c r="E20" t="s">
        <v>263</v>
      </c>
      <c r="F20" t="s">
        <v>242</v>
      </c>
    </row>
  </sheetData>
  <dataValidations count="1">
    <dataValidation type="list" allowBlank="1" showInputMessage="1" showErrorMessage="1" sqref="F1:F1048576" xr:uid="{063D4461-9F55-4F65-8F10-30F6828615DF}">
      <formula1>lstFeatures</formula1>
    </dataValidation>
  </dataValidations>
  <hyperlinks>
    <hyperlink ref="C2" r:id="rId1" location="/home/myqueues" xr:uid="{7548CB46-9350-4440-9AC6-186FEB464E15}"/>
    <hyperlink ref="C3" r:id="rId2" location="/home/worklist/11/100" xr:uid="{CB88ED62-6AD3-43E6-9A65-6DB84A63FFC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Definitions</vt:lpstr>
      <vt:lpstr>RoleMatrix</vt:lpstr>
      <vt:lpstr>APIs</vt:lpstr>
      <vt:lpstr>UI</vt:lpstr>
      <vt:lpstr>Data</vt:lpstr>
      <vt:lpstr>Service</vt:lpstr>
      <vt:lpstr>Users</vt:lpstr>
      <vt:lpstr>RoleMatrix-OLD</vt:lpstr>
      <vt:lpstr>APIs-OLD</vt:lpstr>
      <vt:lpstr>UI-OLD</vt:lpstr>
      <vt:lpstr>lstFeatures</vt:lpstr>
      <vt:lpstr>searchStringPrefix</vt:lpstr>
      <vt:lpstr>temp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Sandya S</dc:creator>
  <cp:lastModifiedBy>Anjum Shaikh</cp:lastModifiedBy>
  <dcterms:created xsi:type="dcterms:W3CDTF">2019-02-05T13:54:15Z</dcterms:created>
  <dcterms:modified xsi:type="dcterms:W3CDTF">2023-03-03T10:06:17Z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False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Mohan_Sundararaju@ad.infosys.com</vt:lpwstr>
  </property>
  <property fmtid="{D5CDD505-2E9C-101B-9397-08002B2CF9AE}" pid="5" name="MSIP_Label_be4b3411-284d-4d31-bd4f-bc13ef7f1fd6_SetDate">
    <vt:lpwstr>2019-02-11T06:26:31.1526300Z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Extended_MSFT_Method">
    <vt:lpwstr>Automatic</vt:lpwstr>
  </property>
  <property fmtid="{D5CDD505-2E9C-101B-9397-08002B2CF9AE}" pid="9" name="MSIP_Label_b1f34ead-50a3-4950-8a39-fca3a33c48cb_Enabled">
    <vt:lpwstr>true</vt:lpwstr>
  </property>
  <property fmtid="{D5CDD505-2E9C-101B-9397-08002B2CF9AE}" pid="10" name="MSIP_Label_b1f34ead-50a3-4950-8a39-fca3a33c48cb_SetDate">
    <vt:lpwstr>2021-12-02T10:53:57Z</vt:lpwstr>
  </property>
  <property fmtid="{D5CDD505-2E9C-101B-9397-08002B2CF9AE}" pid="11" name="MSIP_Label_b1f34ead-50a3-4950-8a39-fca3a33c48cb_Method">
    <vt:lpwstr>Standard</vt:lpwstr>
  </property>
  <property fmtid="{D5CDD505-2E9C-101B-9397-08002B2CF9AE}" pid="12" name="MSIP_Label_b1f34ead-50a3-4950-8a39-fca3a33c48cb_Name">
    <vt:lpwstr>Confidential</vt:lpwstr>
  </property>
  <property fmtid="{D5CDD505-2E9C-101B-9397-08002B2CF9AE}" pid="13" name="MSIP_Label_b1f34ead-50a3-4950-8a39-fca3a33c48cb_SiteId">
    <vt:lpwstr>0c5638da-d686-4d6a-8df4-e0552c70cb17</vt:lpwstr>
  </property>
  <property fmtid="{D5CDD505-2E9C-101B-9397-08002B2CF9AE}" pid="14" name="MSIP_Label_b1f34ead-50a3-4950-8a39-fca3a33c48cb_ActionId">
    <vt:lpwstr>82825c23-24db-49af-b861-2ea761ddd24e</vt:lpwstr>
  </property>
  <property fmtid="{D5CDD505-2E9C-101B-9397-08002B2CF9AE}" pid="15" name="MSIP_Label_b1f34ead-50a3-4950-8a39-fca3a33c48cb_ContentBits">
    <vt:lpwstr>1</vt:lpwstr>
  </property>
  <property fmtid="{D5CDD505-2E9C-101B-9397-08002B2CF9AE}" pid="16" name="MSIP_Label_a0819fa7-4367-4500-ba88-dd630d977609_Enabled">
    <vt:lpwstr>true</vt:lpwstr>
  </property>
  <property fmtid="{D5CDD505-2E9C-101B-9397-08002B2CF9AE}" pid="17" name="MSIP_Label_a0819fa7-4367-4500-ba88-dd630d977609_SetDate">
    <vt:lpwstr>2022-09-15T12:17:30Z</vt:lpwstr>
  </property>
  <property fmtid="{D5CDD505-2E9C-101B-9397-08002B2CF9AE}" pid="18" name="MSIP_Label_a0819fa7-4367-4500-ba88-dd630d977609_Method">
    <vt:lpwstr>Standard</vt:lpwstr>
  </property>
  <property fmtid="{D5CDD505-2E9C-101B-9397-08002B2CF9AE}" pid="19" name="MSIP_Label_a0819fa7-4367-4500-ba88-dd630d977609_Name">
    <vt:lpwstr>a0819fa7-4367-4500-ba88-dd630d977609</vt:lpwstr>
  </property>
  <property fmtid="{D5CDD505-2E9C-101B-9397-08002B2CF9AE}" pid="20" name="MSIP_Label_a0819fa7-4367-4500-ba88-dd630d977609_SiteId">
    <vt:lpwstr>63ce7d59-2f3e-42cd-a8cc-be764cff5eb6</vt:lpwstr>
  </property>
  <property fmtid="{D5CDD505-2E9C-101B-9397-08002B2CF9AE}" pid="21" name="MSIP_Label_a0819fa7-4367-4500-ba88-dd630d977609_ContentBits">
    <vt:lpwstr>0</vt:lpwstr>
  </property>
</Properties>
</file>